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\Downloads\"/>
    </mc:Choice>
  </mc:AlternateContent>
  <xr:revisionPtr revIDLastSave="0" documentId="13_ncr:1_{9F0F0D98-2C38-44D2-ACFF-587B5C56D056}" xr6:coauthVersionLast="47" xr6:coauthVersionMax="47" xr10:uidLastSave="{00000000-0000-0000-0000-000000000000}"/>
  <bookViews>
    <workbookView xWindow="1837" yWindow="1200" windowWidth="13681" windowHeight="12480" firstSheet="1" activeTab="1" xr2:uid="{56683F51-E5B1-AF42-A0FE-F4DEB69A8838}"/>
  </bookViews>
  <sheets>
    <sheet name="All 100 Papers" sheetId="1" r:id="rId1"/>
    <sheet name="Experimental CTE (127)" sheetId="2" r:id="rId2"/>
    <sheet name="Computational CTE (39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4" i="2"/>
  <c r="E3" i="2"/>
  <c r="E2" i="2"/>
  <c r="E65" i="2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E130" i="2"/>
  <c r="E129" i="2"/>
  <c r="E128" i="2"/>
  <c r="E127" i="2"/>
  <c r="E126" i="2"/>
  <c r="E125" i="2"/>
  <c r="E124" i="2"/>
  <c r="E122" i="2"/>
  <c r="E123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2" i="2"/>
  <c r="E97" i="2"/>
  <c r="E96" i="2"/>
  <c r="E95" i="2"/>
  <c r="E94" i="2"/>
  <c r="E9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7" i="2"/>
  <c r="E6" i="2"/>
  <c r="E28" i="2"/>
  <c r="E27" i="2"/>
  <c r="E26" i="2"/>
  <c r="E25" i="2"/>
  <c r="E24" i="2"/>
  <c r="E23" i="2"/>
  <c r="E22" i="2"/>
  <c r="E20" i="2"/>
  <c r="E21" i="2"/>
  <c r="E19" i="2"/>
  <c r="E18" i="2"/>
  <c r="E17" i="2"/>
  <c r="E16" i="2"/>
  <c r="E15" i="2"/>
  <c r="E14" i="2"/>
  <c r="E13" i="2"/>
  <c r="E12" i="2"/>
  <c r="E11" i="2"/>
  <c r="E10" i="2"/>
  <c r="E8" i="2"/>
  <c r="E9" i="2"/>
</calcChain>
</file>

<file path=xl/sharedStrings.xml><?xml version="1.0" encoding="utf-8"?>
<sst xmlns="http://schemas.openxmlformats.org/spreadsheetml/2006/main" count="1379" uniqueCount="557">
  <si>
    <t>No.</t>
  </si>
  <si>
    <t>Name of the Paper / First Author(s) &amp; Year</t>
  </si>
  <si>
    <t>Experimentally Determined CTE?</t>
  </si>
  <si>
    <t>Calculated/Predicted CTE?</t>
  </si>
  <si>
    <t>Method of Determination (Experimental or Computational)</t>
  </si>
  <si>
    <t>Yes</t>
  </si>
  <si>
    <t>No</t>
  </si>
  <si>
    <t>Thermal dilatometer (L75, LINSEIS, Germany)1</t>
  </si>
  <si>
    <t>Not explicitly stated in provided excerpt for CTE, but thermal properties are discussed as "tested results"2</t>
  </si>
  <si>
    <t>Not explicitly stated in main text for CTE measurement3</t>
  </si>
  <si>
    <t>Optical dilatometer (ODHT, Modena, Italy)4</t>
  </si>
  <si>
    <t>Thermal dilatometer (NETZSCH thermal expander-DIL 402 Expedis Classic)5</t>
  </si>
  <si>
    <t>Thermal dilatometer (DIL402E, Netzsch, Germany)6</t>
  </si>
  <si>
    <t>Not explicitly stated in provided excerpt for CTE measurement7</t>
  </si>
  <si>
    <t>Thermal dilatometer (NETZSCH DIL 402C, Germany)8</t>
  </si>
  <si>
    <t>Not explicitly stated in provided excerpt for CTE measurement9</t>
  </si>
  <si>
    <t>Not explicitly stated in provided excerpt for CTE measurement10</t>
  </si>
  <si>
    <t>Not explicitly stated in provided excerpt for CTE measurement11</t>
  </si>
  <si>
    <t>No (Review)</t>
  </si>
  <si>
    <t>Yes (Discusses methods)</t>
  </si>
  <si>
    <r>
      <t xml:space="preserve">Discusses DFT calculations, Nearest Neighbor Model (NNM), Molecular Dynamics (MD) simulations, Machine Learning (ML) models, Debye-Grüneisen model as methods employed by </t>
    </r>
    <r>
      <rPr>
        <i/>
        <sz val="14"/>
        <color rgb="FF131314"/>
        <rFont val="Arial"/>
        <family val="2"/>
      </rPr>
      <t>other</t>
    </r>
    <r>
      <rPr>
        <sz val="14"/>
        <color rgb="FF131314"/>
        <rFont val="Arial"/>
        <family val="2"/>
      </rPr>
      <t xml:space="preserve"> studies1213</t>
    </r>
  </si>
  <si>
    <t>Thermal dilatometer instrument (NETZSCH DIL 402 Expedis Select/Supreme, Germany)14</t>
  </si>
  <si>
    <t>Not explicitly stated in provided excerpt for CTE measurement15</t>
  </si>
  <si>
    <t>Not explicitly stated in provided excerpt for CTE measurement16</t>
  </si>
  <si>
    <t>Rietveld structure refinement using in situ high-temperature XRD data1718</t>
  </si>
  <si>
    <t>Dilatometer (NETZSCH DIL 402 C, Selb, Germany)19</t>
  </si>
  <si>
    <t>High temperature X-ray powder diffractometry2021</t>
  </si>
  <si>
    <t>Dilatometer (DIL402PC, NETZSCH, Germany)2223</t>
  </si>
  <si>
    <t>High-temperature dilatometer (Netzsch, TMA 402 F3, Germany)2425</t>
  </si>
  <si>
    <t>Dilatometer (DIL402PC, NETZSCH, Germany)26</t>
  </si>
  <si>
    <t>Experimental method not explicitly stated; Predicted by Mixture Rule (PMR)27</t>
  </si>
  <si>
    <t>Not explicitly stated</t>
  </si>
  <si>
    <t>Provided excerpt focuses on thermal diffusivity/conductivity measurement and calculation, not CTE directly28...</t>
  </si>
  <si>
    <t>No information</t>
  </si>
  <si>
    <t>Provided excerpt focuses on phase characterization, not CTE38...</t>
  </si>
  <si>
    <t>Not explicitly stated in provided excerpt for CTE measurement41</t>
  </si>
  <si>
    <t>Dilatometer (NETZSCH-DIL 402 Classic, Germany)42</t>
  </si>
  <si>
    <t>Not explicitly stated in provided excerpt for CTE measurement43</t>
  </si>
  <si>
    <t>Reviews experimental data from dilatometric tests44; Reviews theoretical/computational methods like DFT simulations45, Machine Learning46, Descriptor method47, Clarke and Cahill equations, Slack equation48</t>
  </si>
  <si>
    <t>High-temperature thermal expansion meter (TMA402F3, Netzsch, Germany)51</t>
  </si>
  <si>
    <t>Dilatometric measurements5253</t>
  </si>
  <si>
    <t>High-temperature dilatometry (TMA402F3, Netzsch, Germany)54</t>
  </si>
  <si>
    <t>Thermal dilatometer (DIL 402C, LINSEIS, Germany)55</t>
  </si>
  <si>
    <t>Hot stage X-ray Diffraction (XRD)5657</t>
  </si>
  <si>
    <t>High-temperature dilatometer (NETZSCH DIL 402C, Germany)58</t>
  </si>
  <si>
    <t>Compiles data from various methods including X-ray diffraction59, dilatometry59, and estimations by Grüneisen rule60</t>
  </si>
  <si>
    <t>Thermal dilatometer (DIL 801, Netzch, Germany)63</t>
  </si>
  <si>
    <t>Thermal dilatometer64</t>
  </si>
  <si>
    <t>Dilatometer (DIL 402 C, Netzsch)65</t>
  </si>
  <si>
    <t>Estimation by Grüneisen rule60</t>
  </si>
  <si>
    <t>DFT calculations (for mixing enthalpy and configurational entropy, which relate to properties affecting CTE)12</t>
  </si>
  <si>
    <t>Theoretical prediction of mechanical and thermal properties (method not detailed in excerpt)66</t>
  </si>
  <si>
    <t>Theoretical investigation of negative thermal expansion67</t>
  </si>
  <si>
    <t>Molecular dynamics simulation (for phonon thermal conductivity, which relates to thermal expansion behavior)68</t>
  </si>
  <si>
    <t>First-principles calculations (for structural, elastic, thermal, and mechanical properties)69</t>
  </si>
  <si>
    <t>Dielectric chemical bond method70</t>
  </si>
  <si>
    <t>Theoretical approach for searching low thermal conductivity materials (related to thermal expansion)71</t>
  </si>
  <si>
    <t>Combination of experimental and theoretical investigations (for mechanical and thermal properties)72</t>
  </si>
  <si>
    <t>First-principles calculations (for mechanical and thermal properties of pyrochlore oxides)73</t>
  </si>
  <si>
    <t>First-principles calculations (for thermal conductivity of rare earth zirconate pyrochlore, which relates to thermal expansion)74</t>
  </si>
  <si>
    <t>Provided excerpt focuses on bulk density, phase composition, microstructure, and fracture toughness, not CTE75...</t>
  </si>
  <si>
    <t>Ma et al. (2024) ("Configurational entropy of cerate ceramics regulating by multicomponent rare earth for enhanced thermophysical properties")</t>
  </si>
  <si>
    <t>Ma et al. (2024) ("Regulating the thermophysical properties of rare earth cerates through high entropy design and substitute")</t>
  </si>
  <si>
    <t>Yes (implied)</t>
  </si>
  <si>
    <t>Wang et al. (2024) ("Dual-phase zirconate:tantalate high-entropy ceramics boost thermal properties and fracture toughness...")</t>
  </si>
  <si>
    <t>Yes (implied by TEC values in figure)</t>
  </si>
  <si>
    <t>Zhong et al. (2021) ("Directionally solidified Al2O3:(Y0.2Er0.2Yb0.2Ho0.2Lu0.2)3Al5O12 eutectic high-entropy oxide ceramics...")</t>
  </si>
  <si>
    <t>Du et al. (2024) ("Effects of calcination treatments on phases and properties of (La0.2Nd0.2Sm0.2Eu0.2Gd0.2)2Zr2O7:YSZ mixture...")</t>
  </si>
  <si>
    <t>Ping et al. (2024) ("Effects of element addition on the microstructure and thermophysical properties of seven-principal cations rare-earth high-entropy oxide")</t>
  </si>
  <si>
    <t>Zhaoxuan Zhang et al. (2024) ("Elevating the comprehensive thermal properties of rare-earth cerates through high-entropy design")</t>
  </si>
  <si>
    <t>Yes (implied by values provided)</t>
  </si>
  <si>
    <t>Wang et al. (2025) ("Corrosion resistance of high entropy rare earth zirconate ceramic to CMAS")</t>
  </si>
  <si>
    <t>Chen et al. (2024) ("High temperature performance of RE2Zr2O7 high-entropy ceramics designed by thermophysical performance-oriented principle")</t>
  </si>
  <si>
    <t>Yes (implied by TEC figure)</t>
  </si>
  <si>
    <t>Zhao et al. (2020) ("High-entropy (Y0.2Nd0.2Sm0.2Eu0.2Er0.2)AlO3- A promising thermal:environmental barrier material...")</t>
  </si>
  <si>
    <t>Li et al. (2025) ("High-entropy ceramic dual-phase evolution mechanisms and their influence on the thermophysical performance of thermal barrier coatings")</t>
  </si>
  <si>
    <t>P. Zhang et al. (2024) ("High-entropy rare earth phosphates (REPO4, RE = Ho, Tm, Yb, Lu, Dy, Er and Y) with excellent comprehensive properties")</t>
  </si>
  <si>
    <t>Cao et al. (2021) ("Improved thermophysical properties of rare-earth monosilicates applied as environmental barrier coatings...")</t>
  </si>
  <si>
    <t>Yes (implied by values in figure)</t>
  </si>
  <si>
    <t>Ryu et al. (2023) ("Improvement of thermal insulating performance via entropy-stabilization in rare-earth zirconate structures")</t>
  </si>
  <si>
    <t>Cvetnic et al. (2023) ("In Situ High-Temperature Structural Analysis of High-Entropy Rare-Earth Sesquioxides")</t>
  </si>
  <si>
    <t>Kim et al. (2021) ("Interfacial Structure and Physical Properties of High-Entropy Oxide Coatings Prepared via Atmospheric Plasma Spraying")</t>
  </si>
  <si>
    <t>Sahu et al. (2016) ("Investigation on thermophysical properties of RE6UO12(s) (RE=La, Pr, Nd, Sm)")</t>
  </si>
  <si>
    <t>Xu et al. (2022) ("Journal of the American Ceramic Society - 2021 - Xu - Tuning stoichiometry of high‐entropy oxides...")</t>
  </si>
  <si>
    <t>Ping et al. (2022) ("Journal of the American Ceramic Society - 2022 - Ping - Thermophysical and electrical properties of rare‐earth‐cerate")</t>
  </si>
  <si>
    <t>Xu et al. (2022) ("Journal of the American Ceramic Society - 2022 - Xu - Phase evolution and thermophysical properties of high‐entropy RE2 Y0...")</t>
  </si>
  <si>
    <t>Lai et al. (2023) ("Journal of the American Ceramic Society - 2023 - Lai - New class of high‐entropy rare‐earth niobates with high thermal")</t>
  </si>
  <si>
    <t>Yes (implied by figure)</t>
  </si>
  <si>
    <t>Yes (comparison)</t>
  </si>
  <si>
    <t>P. Zhang et al. (2023) ("Mechanical property enhancements and amorphous thermal transports of ordered weberite-type RE3Nb_TaO7 high-entropy oxides")</t>
  </si>
  <si>
    <t>Ren et al. (2020) ("Multicomponent high-entropy zirconates with comprehensive properties for advanced thermal barrier coating")</t>
  </si>
  <si>
    <t>Mathew and Thomas (2025) ("Novel (La0.2Ce0.2Pr0.2Nd0.2Gd0.2)2Hf2O7 high-entropy pyrochlore oxide as a promising TBC material")</t>
  </si>
  <si>
    <t>Yes (implied by reported value)</t>
  </si>
  <si>
    <t>Wang et al. (2023) ("Preparation and thermophysical properties of a novel dual-phase and single-phase rare-earth-zirconate high-entropy ceramics")</t>
  </si>
  <si>
    <t>Liu et al. (2024) ("Stable preparation of defective fluorite structure high entropy (Y0.2Sm0.2Eu0.2Er0.2Yb0.2)2Zr2O7 ceramic powders by molten salt synthesis")</t>
  </si>
  <si>
    <t>Yes (Reviews)</t>
  </si>
  <si>
    <t>S. Zhao et al. (2025) ("Study on high-entropy rare-earth zirconate ceramics for thermal barrier coatings...")</t>
  </si>
  <si>
    <t>J. Dąbrowa et al. (2022) ("Synthesis and Properties of the Gallium-Containing Ruddlesden-Popper Oxides with High-Entropy B-Site Arrangement")</t>
  </si>
  <si>
    <t>J. Cao et al. (2024) ("Synthesis and thermal behavior of rare-earth-niobate ceramics with fluorite structure")</t>
  </si>
  <si>
    <t>S. Fu et al. (2024) ("Synthesis, microstructure and thermophysical properties of (La0.2Y0.2Sm0.2Eu0.2Gd0.2)2Zr2O7 high-entropy oxide ceramic")</t>
  </si>
  <si>
    <t>Ridley et al. (2020) ("Tailoring thermal properties of multi-component rare earth monosilicates")</t>
  </si>
  <si>
    <t>D. Zhang et al. (2022) ("Thermal barrier coatings with high-entropy oxide as a top coat")</t>
  </si>
  <si>
    <t>Yes (Compiles)</t>
  </si>
  <si>
    <t>H.S. Zhang et al. (2022) ("Thermophysical performances of (La1:6Nd1:6Yb1:6Y1:6Sm1:6Lu1:6)2Ce2O7 high-entropy ceramics...")</t>
  </si>
  <si>
    <t>H. Zhang et al. (2023) ("Thermophysical performances of(Gd0.2Dy0.2Y0.2Yb0.2Lu0.2)2GdTaO7 and (La0.2Pr0.2Nd0.2Yb0.2Lu0.2)2GdTaO7 high-entropy oxides")</t>
  </si>
  <si>
    <t>Abrar et al. (2023) ("Ultra-low thermal conductivity and excellent high temperature resistance against calcium-magnesium-alumina-silicate...")</t>
  </si>
  <si>
    <t>Hulsmann and Bilz (1934) ("Uber die Thermische Ausdehnung Einiger Verbindungen und ihre Abschatzung nach der Grtneisenschen Regel")</t>
  </si>
  <si>
    <t>X. Liu et al. (2023) ("Tailoring thermal and mechanical properties of rare earth niobates by coupling entropy and composite engineering")</t>
  </si>
  <si>
    <r>
      <t xml:space="preserve">Xiang et al. (2021) ("High-entropy ceramics- Present status, challenges, and a look forward" - </t>
    </r>
    <r>
      <rPr>
        <i/>
        <sz val="14"/>
        <color rgb="FF131314"/>
        <rFont val="Arial"/>
        <family val="2"/>
      </rPr>
      <t>Review</t>
    </r>
    <r>
      <rPr>
        <sz val="14"/>
        <color rgb="FF131314"/>
        <rFont val="Arial"/>
        <family val="2"/>
      </rPr>
      <t>)</t>
    </r>
  </si>
  <si>
    <r>
      <t xml:space="preserve">Moskal (2025) ("Selection of low and ultra-low thermal conductivity materials for insulating layers of TBC systems..." - </t>
    </r>
    <r>
      <rPr>
        <i/>
        <sz val="14"/>
        <color rgb="FF131314"/>
        <rFont val="Arial"/>
        <family val="2"/>
      </rPr>
      <t>Review</t>
    </r>
    <r>
      <rPr>
        <sz val="14"/>
        <color rgb="FF131314"/>
        <rFont val="Arial"/>
        <family val="2"/>
      </rPr>
      <t>)</t>
    </r>
  </si>
  <si>
    <r>
      <t xml:space="preserve">Covino (1986) ("Expansion Coefficient on Oxides and Oxide Ceramics" - </t>
    </r>
    <r>
      <rPr>
        <i/>
        <sz val="14"/>
        <color rgb="FF131314"/>
        <rFont val="Arial"/>
        <family val="2"/>
      </rPr>
      <t>Compilation</t>
    </r>
    <r>
      <rPr>
        <sz val="14"/>
        <color rgb="FF131314"/>
        <rFont val="Arial"/>
        <family val="2"/>
      </rPr>
      <t>)</t>
    </r>
  </si>
  <si>
    <r>
      <t>Ye et al. (2019) (</t>
    </r>
    <r>
      <rPr>
        <i/>
        <sz val="14"/>
        <color rgb="FF131314"/>
        <rFont val="Arial"/>
        <family val="2"/>
      </rPr>
      <t>cited in Xiang et al. 2021</t>
    </r>
    <r>
      <rPr>
        <sz val="14"/>
        <color rgb="FF131314"/>
        <rFont val="Arial"/>
        <family val="2"/>
      </rPr>
      <t>)</t>
    </r>
  </si>
  <si>
    <r>
      <t>Zhou et al. (2015)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</si>
  <si>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Heine et al. (1999) (</t>
    </r>
    <r>
      <rPr>
        <i/>
        <sz val="14"/>
        <color rgb="FF131314"/>
        <rFont val="Arial"/>
        <family val="2"/>
      </rPr>
      <t>cited in S. Zhao et al. 2025</t>
    </r>
    <r>
      <rPr>
        <sz val="14"/>
        <color rgb="FF131314"/>
        <rFont val="Arial"/>
        <family val="2"/>
      </rPr>
      <t>)</t>
    </r>
  </si>
  <si>
    <r>
      <t>Lim et al. (2019) (</t>
    </r>
    <r>
      <rPr>
        <i/>
        <sz val="14"/>
        <color rgb="FF131314"/>
        <rFont val="Arial"/>
        <family val="2"/>
      </rPr>
      <t>cited in H. Zhang et al. 2023</t>
    </r>
    <r>
      <rPr>
        <sz val="14"/>
        <color rgb="FF131314"/>
        <rFont val="Arial"/>
        <family val="2"/>
      </rPr>
      <t>)</t>
    </r>
  </si>
  <si>
    <r>
      <t>Huang and Ma (2022)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</si>
  <si>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Li et al. (2009)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</si>
  <si>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Zeraati et al. (2024)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</si>
  <si>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Xiang et al. (2017)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</si>
  <si>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Yang et al. (2019)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</si>
  <si>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r>
      <t>Feng et al. (2013) (</t>
    </r>
    <r>
      <rPr>
        <i/>
        <sz val="14"/>
        <color rgb="FF131314"/>
        <rFont val="Arial"/>
        <family val="2"/>
      </rPr>
      <t>cited in Moskal 2025</t>
    </r>
    <r>
      <rPr>
        <sz val="14"/>
        <color rgb="FF131314"/>
        <rFont val="Arial"/>
        <family val="2"/>
      </rPr>
      <t>)</t>
    </r>
  </si>
  <si>
    <t>DUGDALE and MACDONALD (1953, 1954)</t>
  </si>
  <si>
    <t>No, but compared with experimental values from other sources.</t>
  </si>
  <si>
    <r>
      <t>Computational:</t>
    </r>
    <r>
      <rPr>
        <sz val="14"/>
        <color rgb="FF131314"/>
        <rFont val="Arial"/>
        <family val="2"/>
      </rPr>
      <t xml:space="preserve"> Derived expressions for thermal expansion based on use of the Morse potential12.</t>
    </r>
  </si>
  <si>
    <t>KIRCHNER, MERZ and SMYTH (1959)</t>
  </si>
  <si>
    <r>
      <t>Computational:</t>
    </r>
    <r>
      <rPr>
        <sz val="14"/>
        <color rgb="FF131314"/>
        <rFont val="Arial"/>
        <family val="2"/>
      </rPr>
      <t xml:space="preserve"> Used a statistical thermodynamics approach to calculate thermal expansion, determining crystal state by minimizing free energy3.</t>
    </r>
  </si>
  <si>
    <t>KLEMM (1928)</t>
  </si>
  <si>
    <r>
      <t>Computational:</t>
    </r>
    <r>
      <rPr>
        <sz val="14"/>
        <color rgb="FF131314"/>
        <rFont val="Arial"/>
        <family val="2"/>
      </rPr>
      <t xml:space="preserve"> Used an equation presented by GRUNEISEN (1926), assuming molar heat = 6R and using the Madelung-Einstein formula for frequency variation with volume45.</t>
    </r>
  </si>
  <si>
    <t>SMYTH (1955)</t>
  </si>
  <si>
    <r>
      <t>Computational:</t>
    </r>
    <r>
      <rPr>
        <sz val="14"/>
        <color rgb="FF131314"/>
        <rFont val="Arial"/>
        <family val="2"/>
      </rPr>
      <t xml:space="preserve"> Based on a method outlined in the first part of the section (statistical thermodynamics)46.</t>
    </r>
  </si>
  <si>
    <t>KUMAR (1959, 1960)</t>
  </si>
  <si>
    <t>No, but compared with observed values7.</t>
  </si>
  <si>
    <r>
      <t>Computational:</t>
    </r>
    <r>
      <rPr>
        <sz val="14"/>
        <color rgb="FF131314"/>
        <rFont val="Arial"/>
        <family val="2"/>
      </rPr>
      <t xml:space="preserve"> Simplified calculations, including a correction for polarization45.</t>
    </r>
  </si>
  <si>
    <t>RILEY (1945)</t>
  </si>
  <si>
    <r>
      <t>Computational:</t>
    </r>
    <r>
      <rPr>
        <sz val="14"/>
        <color rgb="FF131314"/>
        <rFont val="Arial"/>
        <family val="2"/>
      </rPr>
      <t xml:space="preserve"> Applied a theoretical treatment similar to that developed by Grüneisen and Goens68.</t>
    </r>
  </si>
  <si>
    <t>Moretti and Ottonello (2000)</t>
  </si>
  <si>
    <t>No, but compared with published mean linear thermal expansion data9.</t>
  </si>
  <si>
    <r>
      <t>Computational:</t>
    </r>
    <r>
      <rPr>
        <sz val="14"/>
        <color rgb="FF131314"/>
        <rFont val="Arial"/>
        <family val="2"/>
      </rPr>
      <t xml:space="preserve"> Structural simulations through Distance Least Squares (DLS) treatment of interionic distances, adjusting estimates to reproduce experimental data1011.</t>
    </r>
  </si>
  <si>
    <t>Chen Xiaoge et al. (2018)</t>
  </si>
  <si>
    <r>
      <t>Experimental:</t>
    </r>
    <r>
      <rPr>
        <sz val="14"/>
        <color rgb="FF131314"/>
        <rFont val="Arial"/>
        <family val="2"/>
      </rPr>
      <t xml:space="preserve"> Performed CTE measurement12. (Specific method not detailed in this excerpt)12....</t>
    </r>
  </si>
  <si>
    <t>Ardrey et al. (2024)</t>
  </si>
  <si>
    <r>
      <t>Experimental:</t>
    </r>
    <r>
      <rPr>
        <sz val="14"/>
        <color rgb="FF131314"/>
        <rFont val="Arial"/>
        <family val="2"/>
      </rPr>
      <t xml:space="preserve"> Acquired thermal expansion results via </t>
    </r>
    <r>
      <rPr>
        <b/>
        <sz val="14"/>
        <color rgb="FF131314"/>
        <rFont val="Arial"/>
        <family val="2"/>
      </rPr>
      <t>hot-stage X-ray diffraction</t>
    </r>
    <r>
      <rPr>
        <sz val="14"/>
        <color rgb="FF131314"/>
        <rFont val="Arial"/>
        <family val="2"/>
      </rPr>
      <t xml:space="preserve"> of samples in powder form from lattice spacing analysis via Rietveld refinement15.</t>
    </r>
  </si>
  <si>
    <t>Pianassola, Matheus (dissertation) (2022)</t>
  </si>
  <si>
    <r>
      <t>Experimental/Computational:</t>
    </r>
    <r>
      <rPr>
        <sz val="14"/>
        <color rgb="FF131314"/>
        <rFont val="Arial"/>
        <family val="2"/>
      </rPr>
      <t xml:space="preserve"> Derived CTE values from lattice parameters determined via single-crystal X-ray diffraction16....</t>
    </r>
  </si>
  <si>
    <t>Goel et al. (2010)</t>
  </si>
  <si>
    <r>
      <t>Computational:</t>
    </r>
    <r>
      <rPr>
        <sz val="14"/>
        <color rgb="FF131314"/>
        <rFont val="Arial"/>
        <family val="2"/>
      </rPr>
      <t xml:space="preserve"> Calculated the volume-dependent thermal expansion coefficient by using the </t>
    </r>
    <r>
      <rPr>
        <b/>
        <sz val="14"/>
        <color rgb="FF131314"/>
        <rFont val="Arial"/>
        <family val="2"/>
      </rPr>
      <t>computed one-phonon density of states</t>
    </r>
    <r>
      <rPr>
        <sz val="14"/>
        <color rgb="FF131314"/>
        <rFont val="Arial"/>
        <family val="2"/>
      </rPr>
      <t>2021.</t>
    </r>
  </si>
  <si>
    <t>Wang, Jing-Yan (dissertation) (2016)</t>
  </si>
  <si>
    <r>
      <t>Experimental:</t>
    </r>
    <r>
      <rPr>
        <sz val="14"/>
        <color rgb="FF131314"/>
        <rFont val="Arial"/>
        <family val="2"/>
      </rPr>
      <t xml:space="preserve"> Measured CTE using </t>
    </r>
    <r>
      <rPr>
        <b/>
        <sz val="14"/>
        <color rgb="FF131314"/>
        <rFont val="Arial"/>
        <family val="2"/>
      </rPr>
      <t>Thermal Mechanical Analysis (TMA) Q400</t>
    </r>
    <r>
      <rPr>
        <sz val="14"/>
        <color rgb="FF131314"/>
        <rFont val="Arial"/>
        <family val="2"/>
      </rPr>
      <t xml:space="preserve">2223. </t>
    </r>
    <r>
      <rPr>
        <b/>
        <sz val="14"/>
        <color rgb="FF131314"/>
        <rFont val="Arial"/>
        <family val="2"/>
      </rPr>
      <t>Computational:</t>
    </r>
    <r>
      <rPr>
        <sz val="14"/>
        <color rgb="FF131314"/>
        <rFont val="Arial"/>
        <family val="2"/>
      </rPr>
      <t xml:space="preserve"> Calculated linear CTE using </t>
    </r>
    <r>
      <rPr>
        <b/>
        <sz val="14"/>
        <color rgb="FF131314"/>
        <rFont val="Arial"/>
        <family val="2"/>
      </rPr>
      <t>Molecular Dynamics (MD) simulation</t>
    </r>
    <r>
      <rPr>
        <sz val="14"/>
        <color rgb="FF131314"/>
        <rFont val="Arial"/>
        <family val="2"/>
      </rPr>
      <t>24....</t>
    </r>
  </si>
  <si>
    <t>Zhao B. et al. (2025)</t>
  </si>
  <si>
    <r>
      <t>Experimental:</t>
    </r>
    <r>
      <rPr>
        <sz val="14"/>
        <color rgb="FF131314"/>
        <rFont val="Arial"/>
        <family val="2"/>
      </rPr>
      <t xml:space="preserve"> Determined CTE via measurement of CTE curve2728. (Specific method not detailed in this excerpt)</t>
    </r>
  </si>
  <si>
    <t>Pankrushina et al. (2025)</t>
  </si>
  <si>
    <r>
      <t>Experimental:</t>
    </r>
    <r>
      <rPr>
        <sz val="14"/>
        <color rgb="FF131314"/>
        <rFont val="Arial"/>
        <family val="2"/>
      </rPr>
      <t xml:space="preserve"> Determined volumetric thermal expansion coefficients (ξ) through </t>
    </r>
    <r>
      <rPr>
        <b/>
        <sz val="14"/>
        <color rgb="FF131314"/>
        <rFont val="Arial"/>
        <family val="2"/>
      </rPr>
      <t>dilatometric measurements</t>
    </r>
    <r>
      <rPr>
        <sz val="14"/>
        <color rgb="FF131314"/>
        <rFont val="Arial"/>
        <family val="2"/>
      </rPr>
      <t xml:space="preserve"> and </t>
    </r>
    <r>
      <rPr>
        <b/>
        <sz val="14"/>
        <color rgb="FF131314"/>
        <rFont val="Arial"/>
        <family val="2"/>
      </rPr>
      <t>Raman experiments</t>
    </r>
    <r>
      <rPr>
        <sz val="14"/>
        <color rgb="FF131314"/>
        <rFont val="Arial"/>
        <family val="2"/>
      </rPr>
      <t xml:space="preserve"> measured as a function of temperature and pressure2930.</t>
    </r>
  </si>
  <si>
    <t>Lehmann et al. (2004)</t>
  </si>
  <si>
    <r>
      <t>Experimental:</t>
    </r>
    <r>
      <rPr>
        <sz val="14"/>
        <color rgb="FF131314"/>
        <rFont val="Arial"/>
        <family val="2"/>
      </rPr>
      <t xml:space="preserve"> Measured thermal expansion coefficients31. (Specific method not detailed in this excerpt)</t>
    </r>
  </si>
  <si>
    <t>Zhang et al. (2022)</t>
  </si>
  <si>
    <r>
      <t>Experimental:</t>
    </r>
    <r>
      <rPr>
        <sz val="14"/>
        <color rgb="FF131314"/>
        <rFont val="Arial"/>
        <family val="2"/>
      </rPr>
      <t xml:space="preserve"> Determined average CTE of Yb2O3 through </t>
    </r>
    <r>
      <rPr>
        <b/>
        <sz val="14"/>
        <color rgb="FF131314"/>
        <rFont val="Arial"/>
        <family val="2"/>
      </rPr>
      <t>optical dilatometer measurement</t>
    </r>
    <r>
      <rPr>
        <sz val="14"/>
        <color rgb="FF131314"/>
        <rFont val="Arial"/>
        <family val="2"/>
      </rPr>
      <t>32.</t>
    </r>
  </si>
  <si>
    <t>Roy, Rustum (dissertation) (1959)</t>
  </si>
  <si>
    <r>
      <t>Experimental:</t>
    </r>
    <r>
      <rPr>
        <sz val="14"/>
        <color rgb="FF131314"/>
        <rFont val="Arial"/>
        <family val="2"/>
      </rPr>
      <t xml:space="preserve"> Determined coefficients of thermal expansion33. (Specific method not specified in current sources)</t>
    </r>
  </si>
  <si>
    <t>Barson, Legvold, and Spedding (1957)</t>
  </si>
  <si>
    <r>
      <t>Experimental:</t>
    </r>
    <r>
      <rPr>
        <sz val="14"/>
        <color rgb="FF131314"/>
        <rFont val="Arial"/>
        <family val="2"/>
      </rPr>
      <t xml:space="preserve"> Performed </t>
    </r>
    <r>
      <rPr>
        <b/>
        <sz val="14"/>
        <color rgb="FF131314"/>
        <rFont val="Arial"/>
        <family val="2"/>
      </rPr>
      <t>interferometric dilatometric measurements</t>
    </r>
    <r>
      <rPr>
        <sz val="14"/>
        <color rgb="FF131314"/>
        <rFont val="Arial"/>
        <family val="2"/>
      </rPr>
      <t>34.</t>
    </r>
  </si>
  <si>
    <t>Hao et al. (2024)</t>
  </si>
  <si>
    <r>
      <t>Computational:</t>
    </r>
    <r>
      <rPr>
        <sz val="14"/>
        <color rgb="FF131314"/>
        <rFont val="Arial"/>
        <family val="2"/>
      </rPr>
      <t xml:space="preserve"> Performed </t>
    </r>
    <r>
      <rPr>
        <b/>
        <sz val="14"/>
        <color rgb="FF131314"/>
        <rFont val="Arial"/>
        <family val="2"/>
      </rPr>
      <t>First Principles Calculations (DFT)</t>
    </r>
    <r>
      <rPr>
        <sz val="14"/>
        <color rgb="FF131314"/>
        <rFont val="Arial"/>
        <family val="2"/>
      </rPr>
      <t xml:space="preserve"> and phonon calculations at various volume settings within the quasiharmonic approximation, deriving CTE from the volume-temperature curve35....</t>
    </r>
  </si>
  <si>
    <t>YEGANYAN et al. (2018)</t>
  </si>
  <si>
    <t>No, but used experimental lattice parameters from Geller et al. (1969) for calculations38.</t>
  </si>
  <si>
    <r>
      <t>Computational:</t>
    </r>
    <r>
      <rPr>
        <sz val="14"/>
        <color rgb="FF131314"/>
        <rFont val="Arial"/>
        <family val="2"/>
      </rPr>
      <t xml:space="preserve"> Estimated thermophysical quantities based on their investigation of experimental and calculated parameters of elementary cells39.</t>
    </r>
  </si>
  <si>
    <t>Senyshyn et al. (2009)</t>
  </si>
  <si>
    <r>
      <t>Experimental:</t>
    </r>
    <r>
      <rPr>
        <sz val="14"/>
        <color rgb="FF131314"/>
        <rFont val="Arial"/>
        <family val="2"/>
      </rPr>
      <t xml:space="preserve"> Investigated thermal expansion based on the thermal evolution of structural properties4041. (Likely via diffraction methods)</t>
    </r>
  </si>
  <si>
    <t>Zhanqiang Li et al. (2022)</t>
  </si>
  <si>
    <r>
      <t>Experimental:</t>
    </r>
    <r>
      <rPr>
        <sz val="14"/>
        <color rgb="FF131314"/>
        <rFont val="Arial"/>
        <family val="2"/>
      </rPr>
      <t xml:space="preserve"> Determined TEC of bulk samples by a </t>
    </r>
    <r>
      <rPr>
        <b/>
        <sz val="14"/>
        <color rgb="FF131314"/>
        <rFont val="Arial"/>
        <family val="2"/>
      </rPr>
      <t>thermal expansion meter (Cryoall C15V)</t>
    </r>
    <r>
      <rPr>
        <sz val="14"/>
        <color rgb="FF131314"/>
        <rFont val="Arial"/>
        <family val="2"/>
      </rPr>
      <t>4243.</t>
    </r>
  </si>
  <si>
    <t>Sato and Taira (2022)</t>
  </si>
  <si>
    <r>
      <t>Computational:</t>
    </r>
    <r>
      <rPr>
        <sz val="14"/>
        <color rgb="FF131314"/>
        <rFont val="Arial"/>
        <family val="2"/>
      </rPr>
      <t xml:space="preserve"> Evaluated linear thermal expansion coefficient (α) using </t>
    </r>
    <r>
      <rPr>
        <b/>
        <sz val="14"/>
        <color rgb="FF131314"/>
        <rFont val="Arial"/>
        <family val="2"/>
      </rPr>
      <t>First Principles Calculations (FPC)</t>
    </r>
    <r>
      <rPr>
        <sz val="14"/>
        <color rgb="FF131314"/>
        <rFont val="Arial"/>
        <family val="2"/>
      </rPr>
      <t>44....</t>
    </r>
  </si>
  <si>
    <t>Dang et al. (2021)</t>
  </si>
  <si>
    <r>
      <t>Experimental:</t>
    </r>
    <r>
      <rPr>
        <sz val="14"/>
        <color rgb="FF131314"/>
        <rFont val="Arial"/>
        <family val="2"/>
      </rPr>
      <t xml:space="preserve"> Performed </t>
    </r>
    <r>
      <rPr>
        <b/>
        <sz val="14"/>
        <color rgb="FF131314"/>
        <rFont val="Arial"/>
        <family val="2"/>
      </rPr>
      <t>temperature-dependent X-ray diffraction (XRD)</t>
    </r>
    <r>
      <rPr>
        <sz val="14"/>
        <color rgb="FF131314"/>
        <rFont val="Arial"/>
        <family val="2"/>
      </rPr>
      <t xml:space="preserve"> to characterize samples47.</t>
    </r>
  </si>
  <si>
    <t>Zeyu Chen et al. (2023)</t>
  </si>
  <si>
    <r>
      <t>Experimental:</t>
    </r>
    <r>
      <rPr>
        <sz val="14"/>
        <color rgb="FF131314"/>
        <rFont val="Arial"/>
        <family val="2"/>
      </rPr>
      <t xml:space="preserve"> Measured coefficients of thermal expansion using a </t>
    </r>
    <r>
      <rPr>
        <b/>
        <sz val="14"/>
        <color rgb="FF131314"/>
        <rFont val="Arial"/>
        <family val="2"/>
      </rPr>
      <t>thermal dilatometer (DIL 402SE, NETZSCH)</t>
    </r>
    <r>
      <rPr>
        <sz val="14"/>
        <color rgb="FF131314"/>
        <rFont val="Arial"/>
        <family val="2"/>
      </rPr>
      <t>48.</t>
    </r>
  </si>
  <si>
    <t>Bauer and Wu (1956)</t>
  </si>
  <si>
    <r>
      <t>Computational:</t>
    </r>
    <r>
      <rPr>
        <sz val="14"/>
        <color rgb="FF131314"/>
        <rFont val="Arial"/>
        <family val="2"/>
      </rPr>
      <t xml:space="preserve"> Quantum mechanical calculation of the Morse interaction potential, obtaining analogous results to Dugdale and Macdonald149.</t>
    </r>
  </si>
  <si>
    <t>Beals and Cook (1957)</t>
  </si>
  <si>
    <r>
      <t>Experimental:</t>
    </r>
    <r>
      <rPr>
        <sz val="14"/>
        <color rgb="FF131314"/>
        <rFont val="Arial"/>
        <family val="2"/>
      </rPr>
      <t xml:space="preserve"> Thermal expansion coefficients of oxides were included in tables based on their work49....</t>
    </r>
  </si>
  <si>
    <t>Blackman (1957, 1958)</t>
  </si>
  <si>
    <r>
      <t>Computational:</t>
    </r>
    <r>
      <rPr>
        <sz val="14"/>
        <color rgb="FF131314"/>
        <rFont val="Arial"/>
        <family val="2"/>
      </rPr>
      <t xml:space="preserve"> Used alkali halides data to verify their theoretical results2....</t>
    </r>
  </si>
  <si>
    <t>Charvat and Kingery (1957)</t>
  </si>
  <si>
    <r>
      <t>Experimental:</t>
    </r>
    <r>
      <rPr>
        <sz val="14"/>
        <color rgb="FF131314"/>
        <rFont val="Arial"/>
        <family val="2"/>
      </rPr>
      <t xml:space="preserve"> Studied the influence of grain size on the thermal expansion of rutile (TiO2)27.</t>
    </r>
  </si>
  <si>
    <t>Coble and Kingery (1956)</t>
  </si>
  <si>
    <r>
      <t>Experimental:</t>
    </r>
    <r>
      <rPr>
        <sz val="14"/>
        <color rgb="FF131314"/>
        <rFont val="Arial"/>
        <family val="2"/>
      </rPr>
      <t xml:space="preserve"> Investigated the dependence of thermal expansion of polycrystalline aluminum oxide samples on porosity27.</t>
    </r>
  </si>
  <si>
    <t>Eastabrook (1957)</t>
  </si>
  <si>
    <r>
      <t>Computational:</t>
    </r>
    <r>
      <rPr>
        <sz val="14"/>
        <color rgb="FF131314"/>
        <rFont val="Arial"/>
        <family val="2"/>
      </rPr>
      <t xml:space="preserve"> Used alkali halides data to verify their theoretical results252.</t>
    </r>
  </si>
  <si>
    <t>Engberg and Zehms (1959)</t>
  </si>
  <si>
    <r>
      <t>Experimental:</t>
    </r>
    <r>
      <rPr>
        <sz val="14"/>
        <color rgb="FF131314"/>
        <rFont val="Arial"/>
        <family val="2"/>
      </rPr>
      <t xml:space="preserve"> Thermal expansion coefficients of oxides were included in tables based on their work250.</t>
    </r>
  </si>
  <si>
    <t>Fischer (1956)</t>
  </si>
  <si>
    <r>
      <t>Computational:</t>
    </r>
    <r>
      <rPr>
        <sz val="14"/>
        <color rgb="FF131314"/>
        <rFont val="Arial"/>
        <family val="2"/>
      </rPr>
      <t xml:space="preserve"> Compared their theoretical predictions with alkali halides data252.</t>
    </r>
  </si>
  <si>
    <t>Fletcher (1957)</t>
  </si>
  <si>
    <t>Fulkerson (1960)</t>
  </si>
  <si>
    <r>
      <t>Experimental:</t>
    </r>
    <r>
      <rPr>
        <sz val="14"/>
        <color rgb="FF131314"/>
        <rFont val="Arial"/>
        <family val="2"/>
      </rPr>
      <t xml:space="preserve"> Thermal expansion coefficients were included in tables based on their work2....</t>
    </r>
  </si>
  <si>
    <t>Geller et al. (1969)</t>
  </si>
  <si>
    <r>
      <t>Experimental:</t>
    </r>
    <r>
      <rPr>
        <sz val="14"/>
        <color rgb="FF131314"/>
        <rFont val="Arial"/>
        <family val="2"/>
      </rPr>
      <t xml:space="preserve"> Produced experimental lattice parameters for garnets that were used in calculations by other authors38. (Specific method not specified in current sources)</t>
    </r>
  </si>
  <si>
    <t>Grüneisen (1926)</t>
  </si>
  <si>
    <r>
      <t>Computational:</t>
    </r>
    <r>
      <rPr>
        <sz val="14"/>
        <color rgb="FF131314"/>
        <rFont val="Arial"/>
        <family val="2"/>
      </rPr>
      <t xml:space="preserve"> Presented an equation used by other investigators for predictions24.</t>
    </r>
  </si>
  <si>
    <t>Grisaffe (1960)</t>
  </si>
  <si>
    <r>
      <t>Experimental:</t>
    </r>
    <r>
      <rPr>
        <sz val="14"/>
        <color rgb="FF131314"/>
        <rFont val="Arial"/>
        <family val="2"/>
      </rPr>
      <t xml:space="preserve"> Thermal expansion coefficients for miscellaneous binary compounds were included in tables based on their work254.</t>
    </r>
  </si>
  <si>
    <t>Kempter and Elliot (1959)</t>
  </si>
  <si>
    <r>
      <t>Experimental:</t>
    </r>
    <r>
      <rPr>
        <sz val="14"/>
        <color rgb="FF131314"/>
        <rFont val="Arial"/>
        <family val="2"/>
      </rPr>
      <t xml:space="preserve"> Thermal expansion coefficients of oxides were included in tables based on their work5355.</t>
    </r>
  </si>
  <si>
    <t>Kontorova (1956)</t>
  </si>
  <si>
    <r>
      <t>Computational:</t>
    </r>
    <r>
      <rPr>
        <sz val="14"/>
        <color rgb="FF131314"/>
        <rFont val="Arial"/>
        <family val="2"/>
      </rPr>
      <t xml:space="preserve"> Used alkali halides data to verify their theoretical results552.</t>
    </r>
  </si>
  <si>
    <t>Macdonald and Roy (1955)</t>
  </si>
  <si>
    <t>No, but compared with experimental values for alkali metals1.</t>
  </si>
  <si>
    <r>
      <t>Computational:</t>
    </r>
    <r>
      <rPr>
        <sz val="14"/>
        <color rgb="FF131314"/>
        <rFont val="Arial"/>
        <family val="2"/>
      </rPr>
      <t xml:space="preserve"> Derived expressions for thermal expansion (generalizing a prior theory for a potential of arbitrary form)156.</t>
    </r>
  </si>
  <si>
    <t>Mauer and Bolz (1955, 1957)</t>
  </si>
  <si>
    <r>
      <t>Experimental:</t>
    </r>
    <r>
      <rPr>
        <sz val="14"/>
        <color rgb="FF131314"/>
        <rFont val="Arial"/>
        <family val="2"/>
      </rPr>
      <t xml:space="preserve"> Thermal expansion coefficients of various oxides and binary compounds were included in tables based on their work53....</t>
    </r>
  </si>
  <si>
    <t>Merz, Kirchner and Smyth (1960)</t>
  </si>
  <si>
    <r>
      <t>Experimental:</t>
    </r>
    <r>
      <rPr>
        <sz val="14"/>
        <color rgb="FF131314"/>
        <rFont val="Arial"/>
        <family val="2"/>
      </rPr>
      <t xml:space="preserve"> Measured thermal expansions of polycrystalline bodies by the </t>
    </r>
    <r>
      <rPr>
        <b/>
        <sz val="14"/>
        <color rgb="FF131314"/>
        <rFont val="Arial"/>
        <family val="2"/>
      </rPr>
      <t>dilatometer method</t>
    </r>
    <r>
      <rPr>
        <sz val="14"/>
        <color rgb="FF131314"/>
        <rFont val="Arial"/>
        <family val="2"/>
      </rPr>
      <t>57....</t>
    </r>
  </si>
  <si>
    <t>Sheard (1958)</t>
  </si>
  <si>
    <r>
      <t>Computational:</t>
    </r>
    <r>
      <rPr>
        <sz val="14"/>
        <color rgb="FF131314"/>
        <rFont val="Arial"/>
        <family val="2"/>
      </rPr>
      <t xml:space="preserve"> Calculated high and low temperature limits of γ (Grüneisen constant) based upon third order elastic constants3....</t>
    </r>
  </si>
  <si>
    <t>Stecura and Campbell (1961)</t>
  </si>
  <si>
    <r>
      <t>Experimental:</t>
    </r>
    <r>
      <rPr>
        <sz val="14"/>
        <color rgb="FF131314"/>
        <rFont val="Arial"/>
        <family val="2"/>
      </rPr>
      <t xml:space="preserve"> (Determination of thermal expansion, method not specified in current sources)60.</t>
    </r>
  </si>
  <si>
    <t>Taylor and Jones (1960)</t>
  </si>
  <si>
    <r>
      <t>Experimental:</t>
    </r>
    <r>
      <rPr>
        <sz val="14"/>
        <color rgb="FF131314"/>
        <rFont val="Arial"/>
        <family val="2"/>
      </rPr>
      <t xml:space="preserve"> Performed measurements of SiC over a wide temperature range, observing features like proportionality to heat capacity at low temperatures5961.</t>
    </r>
  </si>
  <si>
    <t>Thielke (1953)</t>
  </si>
  <si>
    <t>Summarized previous results and compared theoretical predictions with data, but did not perform own determination4....</t>
  </si>
  <si>
    <t>Varley (1956)</t>
  </si>
  <si>
    <r>
      <t>Computational:</t>
    </r>
    <r>
      <rPr>
        <sz val="14"/>
        <color rgb="FF131314"/>
        <rFont val="Arial"/>
        <family val="2"/>
      </rPr>
      <t xml:space="preserve"> Examined the possibility of negative coefficients of volume expansion for pure metals361.</t>
    </r>
  </si>
  <si>
    <t>Whittemore and Ault (1956)</t>
  </si>
  <si>
    <r>
      <t>Experimental:</t>
    </r>
    <r>
      <rPr>
        <sz val="14"/>
        <color rgb="FF131314"/>
        <rFont val="Arial"/>
        <family val="2"/>
      </rPr>
      <t xml:space="preserve"> Thermal expansion coefficients of oxides were included in tables based on their work53....</t>
    </r>
  </si>
  <si>
    <t>Z. Duan et al. (2024)</t>
  </si>
  <si>
    <r>
      <t>Experimental:</t>
    </r>
    <r>
      <rPr>
        <sz val="14"/>
        <color rgb="FF131314"/>
        <rFont val="Arial"/>
        <family val="2"/>
      </rPr>
      <t xml:space="preserve"> Average CTE of YAG layer was listed and compared, indicating determination for a coating system62. (Specific method not detailed in this excerpt).</t>
    </r>
  </si>
  <si>
    <t>Xu et al. (2022) ("Journal of the American Ceramic Society - 2021 - Xu - Tuning stoichiometry of high‚Äêentropy oxides...")</t>
  </si>
  <si>
    <t>Ping et al. (2022) ("Journal of the American Ceramic Society - 2022 - Ping - Thermophysical and electrical properties of rare‚Äêearth‚Äêcerate")</t>
  </si>
  <si>
    <t>Xu et al. (2022) ("Journal of the American Ceramic Society - 2022 - Xu - Phase evolution and thermophysical properties of high‚Äêentropy RE2 Y0...")</t>
  </si>
  <si>
    <t>J. DƒÖbrowa et al. (2022) ("Synthesis and Properties of the Gallium-Containing Ruddlesden-Popper Oxides with High-Entropy B-Site Arrangement")</t>
  </si>
  <si>
    <t>Method of Determining CTE</t>
  </si>
  <si>
    <t>Temperature Range</t>
  </si>
  <si>
    <t>CTE Value</t>
  </si>
  <si>
    <t>nan</t>
  </si>
  <si>
    <t>Dilatometer (DIL402PC)6</t>
  </si>
  <si>
    <t>Composition</t>
  </si>
  <si>
    <t>Room temperature to 1400 °C</t>
  </si>
  <si>
    <t>(Y0.2Sm0.2Eu0.2Er0.2Yb0.2)2Zr2O7</t>
  </si>
  <si>
    <t>La2Ce2O7</t>
  </si>
  <si>
    <t>(La0.2Nd0.2Sm0.2Eu0.2Gd0.2)2Zr2O7</t>
  </si>
  <si>
    <t>HTXRD</t>
  </si>
  <si>
    <t>(Y0.25Yb0.25Ta0.25Nb0.25)2ZrO7</t>
  </si>
  <si>
    <t>(Y0.25Yb0.25Ta0.25Nb0.25)1.67ZrO6.67</t>
  </si>
  <si>
    <t>Wang et al.</t>
  </si>
  <si>
    <t>1400 C</t>
  </si>
  <si>
    <t>optical dilatometer (ODHT, Modena, Italy)</t>
  </si>
  <si>
    <t>Al2O3/(Y0.2Er0.2Yb0.2Ho0.2Lu0.2)3Al5O12</t>
  </si>
  <si>
    <t>AL2O3/(Y3Al5O12)</t>
  </si>
  <si>
    <t>room 100 ◦C–1200 ◦C</t>
  </si>
  <si>
    <t>thermal dilatometer (NETZSCH thermal expander-DIL 402 Expedis Classic)</t>
  </si>
  <si>
    <t>room - 1000 C</t>
  </si>
  <si>
    <t xml:space="preserve">Du et al. </t>
  </si>
  <si>
    <t>Du et al.</t>
  </si>
  <si>
    <t xml:space="preserve">Ping et al.  </t>
  </si>
  <si>
    <t>(Y.143La.143Nd.143Sm.143Gd.143Yb.143Lu.143)2O3</t>
  </si>
  <si>
    <t>(Y.125La.125Nd.125Sm.125Gd.125Yb.125Lu.125Ce.125)2O3</t>
  </si>
  <si>
    <t>(Y.1La.1Nd.1Sm.1Gd.1Yb.1Lu.1Ce.1Zr.1Hf.1)2O3</t>
  </si>
  <si>
    <t>thermal dilatometer (DIL402E, Netzsch, Germany)</t>
  </si>
  <si>
    <t>25–1200 ◦C</t>
  </si>
  <si>
    <t xml:space="preserve">Zhaoxuan Zhang et al.  </t>
  </si>
  <si>
    <t>(La0.5Nd0.5)2Ce2O7</t>
  </si>
  <si>
    <t>(La.333Nd.333Sm.333)2Ce2O7</t>
  </si>
  <si>
    <t>(La.25Nd.25Sm.25Eu.25)2Ce2O7</t>
  </si>
  <si>
    <t>(La.2Nd.2Sm.2Eu.2Gd.2)2Ce2O7</t>
  </si>
  <si>
    <t xml:space="preserve">high-temperature dilatometer (Germany NETZSCH DIL 402 C) </t>
  </si>
  <si>
    <t>(Y0.2Gd0.2Er0.2Yb0.2Lu0.2)2Zr2O7</t>
  </si>
  <si>
    <t>30-1000C</t>
  </si>
  <si>
    <t>thermal dilatometer (NETZSCH DIL 402C, Germany)</t>
  </si>
  <si>
    <t>dilatometer</t>
  </si>
  <si>
    <t>thermal dilatometer (NETZSCH DIL 420CL, Germany)</t>
  </si>
  <si>
    <t>(La0.0875Gd0.0875Y0.0875Sm0.0875)0.35Yb0.6Zr2O7</t>
  </si>
  <si>
    <t>Room temperatuere to 1100 C</t>
  </si>
  <si>
    <t>optical dilatometer (Misura ODHT 1600-50, Expert System Solutions, Italy)</t>
  </si>
  <si>
    <t>Room temp - 1200 C</t>
  </si>
  <si>
    <t>high-temperature thermal expansion meter (TMA402F3, Netzsch, Germany)</t>
  </si>
  <si>
    <t>Room temp -1200 C</t>
  </si>
  <si>
    <t xml:space="preserve">Li et al.  </t>
  </si>
  <si>
    <t>Thermal dialtometer instrument (NETZSCH DIL 402 Expedis Select/Supreme, Germany)</t>
  </si>
  <si>
    <t>Room temp -900C</t>
  </si>
  <si>
    <t>(Dy0.167Ho0.167Er0.167Tm0.167Yb0.167Y0.167)PO4</t>
  </si>
  <si>
    <t>Thermal dilatometer (402 Expedis Supreme, Netzsch, Germany)</t>
  </si>
  <si>
    <t xml:space="preserve">Cao et al.  </t>
  </si>
  <si>
    <t>RT- 1000C</t>
  </si>
  <si>
    <t>RT - 1000C</t>
  </si>
  <si>
    <t xml:space="preserve">Ryu et al. </t>
  </si>
  <si>
    <t xml:space="preserve">Cvetnic et al.  </t>
  </si>
  <si>
    <t>20 - 900C</t>
  </si>
  <si>
    <t>RT - 1750C</t>
  </si>
  <si>
    <t>dilatometer (NETZSCH DIL 402 C, Selb, Germany) </t>
  </si>
  <si>
    <t>25 - 1300C</t>
  </si>
  <si>
    <t xml:space="preserve">Kim et al.  </t>
  </si>
  <si>
    <t>26 - 1300C</t>
  </si>
  <si>
    <t xml:space="preserve">Sahu et al.  </t>
  </si>
  <si>
    <t xml:space="preserve">Xu et al.  </t>
  </si>
  <si>
    <t>Dilatometer (DIL402PC)7</t>
  </si>
  <si>
    <t>Dilatometer (DIL402PC)8</t>
  </si>
  <si>
    <t>Dilatometer (DIL402PC)9</t>
  </si>
  <si>
    <t>Dilatometer (DIL402PC)10</t>
  </si>
  <si>
    <t>Dilatometer (DIL402PC)11</t>
  </si>
  <si>
    <t>Dilatometer (DIL402PC)12</t>
  </si>
  <si>
    <t>40-850C</t>
  </si>
  <si>
    <t>(Lu,Y,Ho,Nd,La)2O3</t>
  </si>
  <si>
    <t>Pr6UO12</t>
  </si>
  <si>
    <t>Sm6UO12</t>
  </si>
  <si>
    <t xml:space="preserve">ping et al. </t>
  </si>
  <si>
    <t>30-1200C</t>
  </si>
  <si>
    <t>high-temperaturedilatometer(Net- zsch,TMA402F3,Germany).</t>
  </si>
  <si>
    <t>(Ce0.2Nd0.2Sm0.2Eu0.2Yb0.2)2Zr2O7</t>
  </si>
  <si>
    <t>25-1500C</t>
  </si>
  <si>
    <t>Dilatometer (DIL 402 Expedis Supreme, Netzsch, Germany)</t>
  </si>
  <si>
    <t>25-1400C</t>
  </si>
  <si>
    <t xml:space="preserve">wang et al.  </t>
  </si>
  <si>
    <t>dilatometer (NETZSCH-DIL 402 Classic, Germany)</t>
  </si>
  <si>
    <t>RT-1200C</t>
  </si>
  <si>
    <t>thermal dilatometer (Netzsch DIL402C, Germany).</t>
  </si>
  <si>
    <t>RT-1000C</t>
  </si>
  <si>
    <t xml:space="preserve">S. Zhao et al.  </t>
  </si>
  <si>
    <t>High-temperature thermal expansion meter (TMA402F3, Netzsch, Germany)</t>
  </si>
  <si>
    <t>J. D et al.</t>
  </si>
  <si>
    <t xml:space="preserve">J. Cao et al.  </t>
  </si>
  <si>
    <t>High-temperature dilatometry (TMA402F3, Netzsch, Germany)</t>
  </si>
  <si>
    <t xml:space="preserve">Ridley et al.  </t>
  </si>
  <si>
    <t>Rt-1200C</t>
  </si>
  <si>
    <t>100-1000C</t>
  </si>
  <si>
    <t>Dilatometry</t>
  </si>
  <si>
    <t>RT-1400C</t>
  </si>
  <si>
    <t xml:space="preserve">H. Zhang et al.  </t>
  </si>
  <si>
    <t>400-1300C</t>
  </si>
  <si>
    <t>20-1200C</t>
  </si>
  <si>
    <t>25-1000C</t>
  </si>
  <si>
    <t>25 - 800C</t>
  </si>
  <si>
    <t>25-10000C</t>
  </si>
  <si>
    <t>25-600C</t>
  </si>
  <si>
    <t>20-600C</t>
  </si>
  <si>
    <t>Time of Flight Neutron Diffraction</t>
  </si>
  <si>
    <t>La</t>
  </si>
  <si>
    <t>Ce</t>
  </si>
  <si>
    <t>Pr</t>
  </si>
  <si>
    <t>Nd</t>
  </si>
  <si>
    <t>Tb</t>
  </si>
  <si>
    <t>Dy</t>
  </si>
  <si>
    <t>Er</t>
  </si>
  <si>
    <t xml:space="preserve">Yb </t>
  </si>
  <si>
    <t xml:space="preserve">Gd </t>
  </si>
  <si>
    <t xml:space="preserve">Barson et al. </t>
  </si>
  <si>
    <t>Rt-900C</t>
  </si>
  <si>
    <t>RT-800C</t>
  </si>
  <si>
    <t>RT-900C</t>
  </si>
  <si>
    <t>neg160-900C</t>
  </si>
  <si>
    <t>thermal expansion meter (cryoall C15V)</t>
  </si>
  <si>
    <t>Thermal Expansion Meter</t>
  </si>
  <si>
    <t>400-100C</t>
  </si>
  <si>
    <t>Optical thermal expansion meter (ODHT, Modena, Italy)</t>
  </si>
  <si>
    <t>200-1400 C</t>
  </si>
  <si>
    <t>Y3Al5O12</t>
  </si>
  <si>
    <t>Reference</t>
  </si>
  <si>
    <t>CTE Measurement Method</t>
  </si>
  <si>
    <t>CTE Value (1/K)</t>
  </si>
  <si>
    <t>Author(s)</t>
  </si>
  <si>
    <t>Year</t>
  </si>
  <si>
    <t>Paper Name</t>
  </si>
  <si>
    <t>R. Moretti and G. Ottonello4</t>
  </si>
  <si>
    <t>An appraisal of rare earth garnets</t>
  </si>
  <si>
    <t>Yoichi Sato and Takunori Taira8</t>
  </si>
  <si>
    <t>Comparative study on the linear thermal expansion coefficient of laser host crystals by first principles calculations</t>
  </si>
  <si>
    <t>Shiqiang Hao et al.</t>
  </si>
  <si>
    <t>Computational design of high-entropy rare earth aluminum garnets for advanced thermal and environmental barrier coatings9</t>
  </si>
  <si>
    <t>Pankrushina et al.</t>
  </si>
  <si>
    <t>Raman Spectroscopy Dynamical and Nonlinear Optical Properties of (specifically referring to YIG, EuIG, GdIG, DyIG, ErIG, and (Y0.2Gd0.2Er0.2Eu0.2Dy0.2)IG garnets)</t>
  </si>
  <si>
    <t>Wang X. et al.</t>
  </si>
  <si>
    <t>Explicitly states "Calculation of thermal expansion coefficient... by first principles"1.</t>
  </si>
  <si>
    <t>Chen L. et al.</t>
  </si>
  <si>
    <t>"Thermal expansion performance and intrinsic lattice thermal conductivity of ferroelastic RETaO4 ceramics"3...</t>
  </si>
  <si>
    <t>Involves computational determination of "intrinsic lattice thermal conductivity" and analysis of "thermal expansion performance"3.</t>
  </si>
  <si>
    <t>Dai F.Z. et al.</t>
  </si>
  <si>
    <t>"Lattice distortions and their effects on elastic and thermal properties of (Ti0.2Zr0.2Hf0.2Nb0.2Ta0.2)C high entropy ceramics by machine-learning potentials"910</t>
  </si>
  <si>
    <t>Utilized machine learning potentials to predict "temperature dependent elastic and thermal properties"9, which typically include CTE.</t>
  </si>
  <si>
    <t>"Temperature dependent elastic and thermal properties of (Ti0.2Zr0.2Hf0.2Nb0.2Ta0.2)B2 high entropy ceramics by machine learning potentials"911</t>
  </si>
  <si>
    <t>"Calculation of thermal expansion coefficient of rare earth zirconate system at high temperature by first principles"12</t>
  </si>
  <si>
    <t>NOTES</t>
  </si>
  <si>
    <t>"Calculation of thermal expansion coefficient of rare earth zirconate system at high temperature by first principles"13</t>
  </si>
  <si>
    <t>"Calculation of thermal expansion coefficient of rare earth zirconate system at high temperature by first principles"14</t>
  </si>
  <si>
    <t>"Calculation of thermal expansion coefficient of rare earth zirconate system at high temperature by first principles"15</t>
  </si>
  <si>
    <t>"Calculation of thermal expansion coefficient of rare earth zirconate system at high temperature by first principles"16</t>
  </si>
  <si>
    <t>DFT via VASP</t>
  </si>
  <si>
    <t>Approach</t>
  </si>
  <si>
    <t>Quasi-harmonic approximation</t>
  </si>
  <si>
    <t>Exchange-correlation</t>
  </si>
  <si>
    <t>GGA-PBE functional</t>
  </si>
  <si>
    <t>Plane wave cutoff (eV)</t>
  </si>
  <si>
    <t>Supercell size</t>
  </si>
  <si>
    <t>2x2x2</t>
  </si>
  <si>
    <t>Brillouin zone sampling</t>
  </si>
  <si>
    <t>Temperature Range (K)</t>
  </si>
  <si>
    <t>300-1500</t>
  </si>
  <si>
    <t>2x2x2 monkhorst-pack k-point grid</t>
  </si>
  <si>
    <t>yes</t>
  </si>
  <si>
    <t>no</t>
  </si>
  <si>
    <t>"Lattice distortions and their effects on elastic and thermal properties of (Ti0.2Zr0.2Hf0.2Nb0.2Ta0.2)C high entropy ceramics by machine-learning potentials"911</t>
  </si>
  <si>
    <t>"Lattice distortions and their effects on elastic and thermal properties of (Ti0.2Zr0.2Hf0.2Nb0.2Ta0.2)C high entropy ceramics by machine-learning potentials"912</t>
  </si>
  <si>
    <t>"Lattice distortions and their effects on elastic and thermal properties of (Ti0.2Zr0.2Hf0.2Nb0.2Ta0.2)C high entropy ceramics by machine-learning potentials"913</t>
  </si>
  <si>
    <t>"Lattice distortions and their effects on elastic and thermal properties of (Ti0.2Zr0.2Hf0.2Nb0.2Ta0.2)C high entropy ceramics by machine-learning potentials"914</t>
  </si>
  <si>
    <t>Volume Sampling Strategy</t>
  </si>
  <si>
    <t>±6% volume range in 1% steps</t>
  </si>
  <si>
    <t>QHA-validated (phonon dispersion and density of states analysis included)</t>
  </si>
  <si>
    <t>"Temperature dependent elastic and thermal properties of (Ti0.2Zr0.2Hf0.2Nb0.2Ta0.2)B2 high entropy ceramics by machine learning potentials"912</t>
  </si>
  <si>
    <t>"Temperature dependent elastic and thermal properties of (Ti0.2Zr0.2Hf0.2Nb0.2Ta0.2)B2 high entropy ceramics by machine learning potentials"913</t>
  </si>
  <si>
    <t>"Temperature dependent elastic and thermal properties of (Ti0.2Zr0.2Hf0.2Nb0.2Ta0.2)B2 high entropy ceramics by machine learning potentials"914</t>
  </si>
  <si>
    <t>"Temperature dependent elastic and thermal properties of (Ti0.2Zr0.2Hf0.2Nb0.2Ta0.2)B2 high entropy ceramics by machine learning potentials"915</t>
  </si>
  <si>
    <t>"Temperature dependent elastic and thermal properties of (Ti0.2Zr0.2Hf0.2Nb0.2Ta0.2)B2 high entropy ceramics by machine learning potentials"916</t>
  </si>
  <si>
    <t>DFT via CASTEP</t>
  </si>
  <si>
    <t>3x3x3 monkhorst-pack k-point grid</t>
  </si>
  <si>
    <t>±5% in 1% increments</t>
  </si>
  <si>
    <t>R. Moretti and G. Ottonello5</t>
  </si>
  <si>
    <t>R. Moretti and G. Ottonello6</t>
  </si>
  <si>
    <t>R. Moretti and G. Ottonello7</t>
  </si>
  <si>
    <t>R. Moretti and G. Ottonello8</t>
  </si>
  <si>
    <t>R. Moretti and G. Ottonello9</t>
  </si>
  <si>
    <t>Al2O3</t>
  </si>
  <si>
    <t>Mg2SiO4</t>
  </si>
  <si>
    <t>SiO2</t>
  </si>
  <si>
    <t>CaSiO3</t>
  </si>
  <si>
    <t>MgO</t>
  </si>
  <si>
    <t>300-1800</t>
  </si>
  <si>
    <t>300-800</t>
  </si>
  <si>
    <t>Monkhorst-Pack grid (k-point density not explicitly stated, ~0.05 Å⁻¹ spacing)</t>
  </si>
  <si>
    <t>±6% in 1% increments</t>
  </si>
  <si>
    <t>Yoichi Sato and Takunori Taira9</t>
  </si>
  <si>
    <t>Yoichi Sato and Takunori Taira10</t>
  </si>
  <si>
    <t>Yoichi Sato and Takunori Taira11</t>
  </si>
  <si>
    <t>Yoichi Sato and Takunori Taira12</t>
  </si>
  <si>
    <t>Yoichi Sato and Takunori Taira13</t>
  </si>
  <si>
    <t>Lu3Al5O12</t>
  </si>
  <si>
    <t>YVO4</t>
  </si>
  <si>
    <t>Y2SiO5</t>
  </si>
  <si>
    <t>YAlO3</t>
  </si>
  <si>
    <t>LiNbO3</t>
  </si>
  <si>
    <t>0-1000</t>
  </si>
  <si>
    <t>5×5×5 Monkhorst–Pack grid</t>
  </si>
  <si>
    <t>±5% from equilibrium volume</t>
  </si>
  <si>
    <t>Computational design of high-entropy rare earth aluminum garnets for advanced thermal and environmental barrier coatings10</t>
  </si>
  <si>
    <t>Computational design of high-entropy rare earth aluminum garnets for advanced thermal and environmental barrier coatings11</t>
  </si>
  <si>
    <t>Computational design of high-entropy rare earth aluminum garnets for advanced thermal and environmental barrier coatings12</t>
  </si>
  <si>
    <t>Computational design of high-entropy rare earth aluminum garnets for advanced thermal and environmental barrier coatings13</t>
  </si>
  <si>
    <t>4×4×4 Monkhorst–Pack grid</t>
  </si>
  <si>
    <t>±4% in 1% increments</t>
  </si>
  <si>
    <t>300-1000</t>
  </si>
  <si>
    <t>3×3×3 Monkhorst–Pack grid</t>
  </si>
  <si>
    <t>8 papers total</t>
  </si>
  <si>
    <t>Note:</t>
  </si>
  <si>
    <t xml:space="preserve">I have included important parameters for DFT calculations as I understand them. Mainly starting from including key parameters that were different between papers. Hope that makes sense. </t>
  </si>
  <si>
    <t>Note: not all 100 papers from the first sheet are included. Some were more theory than actually reporting CTE values.</t>
  </si>
  <si>
    <t xml:space="preserve">Notes: I went through a majority of these papers manually, so I really trust the numbers and things lol. Sometimes for CTE values with ranges I reported it as an average. </t>
  </si>
  <si>
    <t>Gd2Zr2O7</t>
  </si>
  <si>
    <t>Sm2Zr2O7</t>
  </si>
  <si>
    <t>Nd2Zr2O7</t>
  </si>
  <si>
    <t>Pr2Zr2O7</t>
  </si>
  <si>
    <t>La2Zr2O7</t>
  </si>
  <si>
    <t>Y2Zr2O7</t>
  </si>
  <si>
    <t>Sm2Zr27</t>
  </si>
  <si>
    <t>Thermal dilatometer (DIL 402 Expedis Supreme, NETZSCH)</t>
  </si>
  <si>
    <t>600-1350C</t>
  </si>
  <si>
    <t>(La0.2Sm0.2Eu0.2Yb0.2Y0.2)2Ce2O7</t>
  </si>
  <si>
    <t>(La0.2Sm0.2Eu0.2Yb0.2Y0.2)2(Ce0.9Zr0.1)2O7</t>
  </si>
  <si>
    <t>(La0.2Sm0.2Eu0.2Yb0.2Y0.2)2(Ce0.7Zr0.3)2O7</t>
  </si>
  <si>
    <t>(La0.2Sm0.2Eu0.2Yb0.2Y0.2)2(Ce0.5Zr0.5)2O7</t>
  </si>
  <si>
    <t>0.5(La0.2Nd0.2Sm0.2Eu0.2Gd0.2)2Zr2O7 + 0.5YSZ</t>
  </si>
  <si>
    <t>0.25(La0.2Nd0.2Sm0.2Eu0.2Gd0.2)2Zr2O7 + 0.75YSZ</t>
  </si>
  <si>
    <t>0.167(La0.2Nd0.2Sm0.2Eu0.2Gd0.2)2Zr2O7 + 0.833YSZ</t>
  </si>
  <si>
    <t>0.125(La0.2Nd0.2Sm0.2Eu0.2Gd0.2)2Zr2O7 + 0.875YSZ</t>
  </si>
  <si>
    <t>0.07(La0.2Nd0.2Sm0.2Eu0.2Gd0.2)2Zr2O7 + 0.93YSZ</t>
  </si>
  <si>
    <t>0.05(La0.2Nd0.2Sm0.2Eu0.2Gd0.2)2Zr2O7 + 0.95YSZ</t>
  </si>
  <si>
    <t>0.03(La0.2Nd0.2Sm0.2Eu0.2Gd0.2)2Zr2O7 + 0.97YSZ</t>
  </si>
  <si>
    <t>0.02(La0.2Nd0.2Sm0.2Eu0.2Gd0.2)2Zr2O7 + 0.98YSZ</t>
  </si>
  <si>
    <t>(Y0.2Nd0.2Sm0.2Eu0.2Er0.2)AlO₃</t>
  </si>
  <si>
    <t>(La0.2Nd0.2Gd0.2Ho0.2Y0.2)2Zr2O7</t>
  </si>
  <si>
    <t>(La0.2Nd0.2Gd0.2Ho0.2Y0.2)2(Zr0.75Ce0.25)2O7</t>
  </si>
  <si>
    <t>(Y0.8Yb0.2)2SiO5</t>
  </si>
  <si>
    <t>(Y0.6Yb0.4)2SiO5</t>
  </si>
  <si>
    <t>(Y0.4Yb0.6)2SiO5</t>
  </si>
  <si>
    <t>(Y0.2Yb0.8)2SiO5</t>
  </si>
  <si>
    <t>Yb2SiO5</t>
  </si>
  <si>
    <t>(Lu0.2Yb0.2Er0.2Ho0.2Y0.2)2SiO5</t>
  </si>
  <si>
    <t>(Yb0.2Er0.2Ho0.2Y0.2Dy0.2)2SiO5</t>
  </si>
  <si>
    <t>(Lu0.2Yb0.2Er0.2Y0.2Gd0.2)2SiO5</t>
  </si>
  <si>
    <t>(Yb0.2Er0.2Y0.2Dy0.2Gd0.2)2SiO5</t>
  </si>
  <si>
    <t>(Y0.2Ho0.2Er0.2Yb0.2Mg0.2)2Zr2O7</t>
  </si>
  <si>
    <t>(La0.2Nd0.2Sm0.2Gd0.2Ca0.2)2Zr2O7</t>
  </si>
  <si>
    <t>(Gd0.2Sm0.2Eu0.2Nd0.2La0.2)2O3</t>
  </si>
  <si>
    <t>(Y0.2La0.2Ce0.2Nd0.2Gd0.2)2O3</t>
  </si>
  <si>
    <t>(Y0.16Zr0.84)O1.92</t>
  </si>
  <si>
    <t>(La0.2Sm0.2Er0.2Yb0.2Y0.2)2O3</t>
  </si>
  <si>
    <t>(La0.2Sm0.2Er0.2Yb0.2Y0.2)2Ce0.4O3.8</t>
  </si>
  <si>
    <t>(La0.2Sm0.2Er0.2Yb0.2Y0.2)2Ce1.2O5.4</t>
  </si>
  <si>
    <t>(La0.2Sm0.2Er0.2Yb0.2Y0.2)2Ce2.0O7.0</t>
  </si>
  <si>
    <t>(La0.2Sm0.2Er0.2Yb0.2Y0.2)2Ce2.8O8.6</t>
  </si>
  <si>
    <t>(La0.2Sm0.2Er0.2Yb0.2Y0.2)2Ce3.6O10.2</t>
  </si>
  <si>
    <t>(La0.2Sm0.2Er0.2Yb0.2Y0.2)2Ce4.4O11.8</t>
  </si>
  <si>
    <t>(La0.2Nd0.2Sm0.2Gd0.2Dy0.2)2Ce2O7</t>
  </si>
  <si>
    <t>(La0.2Nd0.2Sm0.2Gd0.2Yb0.2)2Ce2O7</t>
  </si>
  <si>
    <t>(La0.2Nd0.2Sm0.2Yb0.2Dy0.2)2Ce2O7</t>
  </si>
  <si>
    <t>(La0.2Nd0.2Yb0.2Gd0.2Dy0.2)2Ce2O7</t>
  </si>
  <si>
    <t>(La0.2Yb0.2Sm0.2Gd0.2Dy0.2)2Ce2O7</t>
  </si>
  <si>
    <t>Nd2Ce2O7</t>
  </si>
  <si>
    <t>(La0.2Ce0.2Pr0.2Nd0.2Gd0.2)2Hf2O7</t>
  </si>
  <si>
    <t>(Nd0.2Gd0.2Y0.2Er0.2Yb0.2)2Zr2O7</t>
  </si>
  <si>
    <t>(Nd0.58Gd0.05Y0.05Er0.05Yb0.27)2Zr2O7</t>
  </si>
  <si>
    <t>(Nd0.2Sm0.2Gd0.2Ho0.2Er0.2)2Zr2O7</t>
  </si>
  <si>
    <t>(La0.2Nd0.2Sm0.2Gd0.2Ho0.2)2Zr2O7</t>
  </si>
  <si>
    <t>(La0.2Nd0.2Sm0.2Gd0.2Er0.2)2Zr2O7</t>
  </si>
  <si>
    <t>LaSr(Co0.2Fe0.2Ga0.2Mn0.2Ni0.2)O4</t>
  </si>
  <si>
    <t>PrSr(Co0.2Fe0.2Ga0.2Mn0.2Ni0.2)O4</t>
  </si>
  <si>
    <t>NdSr(Co0.2Fe0.2Ga0.2Mn0.2Ni0.2)O4</t>
  </si>
  <si>
    <t>SmSr(Co0.2Fe0.2Ga0.2Mn0.2Ni0.2)O4</t>
  </si>
  <si>
    <t>GdSr(Co0.2Fe0.2Ga0.2Mn0.2Ni0.2)O4</t>
  </si>
  <si>
    <t>(Gd0.25Ho0.25Er0.25Yb0.25)3NbO7</t>
  </si>
  <si>
    <t>(Ho0.33Er0.33Yb0.33)3NbO7</t>
  </si>
  <si>
    <t>(La0.2Y0.2Sm0.2Eu0.2Gd0.2)2Zr2O7</t>
  </si>
  <si>
    <t>(Sc0.2Y0.2Dy0.2Er0.2Yb0.2)2SiO5</t>
  </si>
  <si>
    <t>(Dy0.5Er0.5)2SiO5</t>
  </si>
  <si>
    <t>(Gd0.2Nd0.2Sm0.2Y0.2Yb0.2)2Zr2O7</t>
  </si>
  <si>
    <t>(La1.6Nd1.6Y1.6Sm1.6Lu1.6Yb1.6)2Ce2O7</t>
  </si>
  <si>
    <t>(Gd0.2Dy0.2Y0.2Yb0.2Lu0.2)2GdTaO7</t>
  </si>
  <si>
    <t>(La0.2Pr0.2Nd0.2Yb0.2Lu0.2)2GdTaO7</t>
  </si>
  <si>
    <t>(La0.2Nd0.2Sm0.2Gd0.2Yb0.2)2Zr2O7</t>
  </si>
  <si>
    <t>Sm2YbTaO7</t>
  </si>
  <si>
    <t>Sm2YTaO7</t>
  </si>
  <si>
    <t>(Gd0.2Sm0.2Nd0.2Yb0.2Y0.2)2Zr2O7</t>
  </si>
  <si>
    <t>(Eu0.2Gd0.2Dy0.2Er0.2Y0.2)3Fe5O12</t>
  </si>
  <si>
    <t>LiAlSi2O6</t>
  </si>
  <si>
    <t>LiAlSiO4</t>
  </si>
  <si>
    <t>Mg2Al4Si5O18</t>
  </si>
  <si>
    <t>LiAlSi4O10</t>
  </si>
  <si>
    <t>Be3Al2Si6O18</t>
  </si>
  <si>
    <t>NaZr2P3O12</t>
  </si>
  <si>
    <t>CaZr4P6O24</t>
  </si>
  <si>
    <t>CaTi4P6O24</t>
  </si>
  <si>
    <t>CaTi2Zr2P6O24</t>
  </si>
  <si>
    <t>NaTi2P3O12</t>
  </si>
  <si>
    <t>Na3Cr2P3O12</t>
  </si>
  <si>
    <t>SrZr4P6O24</t>
  </si>
  <si>
    <t>BaZr4P6O24</t>
  </si>
  <si>
    <t>Ca0.5NaZr4P6O24</t>
  </si>
  <si>
    <t>Ca0.5NaTi4P6O24</t>
  </si>
  <si>
    <t>Na1.5Zr1.5Cr0.5P3O12</t>
  </si>
  <si>
    <t>Ca0.75Sr0.25Zr4P6O24</t>
  </si>
  <si>
    <t>Ca0.5Sr0.5Zr4P6O24</t>
  </si>
  <si>
    <t>Ca0.25Sr0.75Zr4P6O24</t>
  </si>
  <si>
    <t>MgZr4P6O24</t>
  </si>
  <si>
    <t>Mg1.546Fe0.454Al4Si5O18</t>
  </si>
  <si>
    <t>MgMnAl4Si5O18</t>
  </si>
  <si>
    <t>Mg2Al3.4Ga0.6Si5O18</t>
  </si>
  <si>
    <t>(Si0.555P0.253Li0.079Zn0.037Zr0.023Na0.019Mg0.014Ti0.010As0.005)O2</t>
  </si>
  <si>
    <t>(Y0.2Dy0.2Ho0.2Er0.2Yb0.2)3Al5O12</t>
  </si>
  <si>
    <t>Yb3Al5O2</t>
  </si>
  <si>
    <t>(Y0.2Yb0.2Lu0.2Eu0.2Er0.2)3Al5O12</t>
  </si>
  <si>
    <t>(Ho0.25Lu0.25Yb0.25Eu0.25)2SiO5</t>
  </si>
  <si>
    <t>(Gd0.2Dy0.2Y0.2Yb0.2Lu0.2)2Zr2O7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</si>
</sst>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rgb="FF131314"/>
      <name val="Arial"/>
      <family val="2"/>
    </font>
    <font>
      <b/>
      <sz val="14"/>
      <color rgb="FF131314"/>
      <name val="Arial"/>
      <family val="2"/>
    </font>
    <font>
      <i/>
      <sz val="14"/>
      <color rgb="FF131314"/>
      <name val="Arial"/>
      <family val="2"/>
    </font>
    <font>
      <sz val="12"/>
      <color theme="1"/>
      <name val="Arial"/>
      <family val="2"/>
    </font>
    <font>
      <b/>
      <sz val="14"/>
      <color theme="5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rial"/>
      <family val="2"/>
    </font>
    <font>
      <sz val="8"/>
      <name val="Aptos Narrow"/>
      <family val="2"/>
      <scheme val="minor"/>
    </font>
    <font>
      <sz val="12"/>
      <color rgb="FF131314"/>
      <name val="Arial"/>
      <family val="2"/>
    </font>
    <font>
      <sz val="12"/>
      <color rgb="FF141413"/>
      <name val="Arial"/>
      <family val="2"/>
    </font>
    <font>
      <b/>
      <sz val="12"/>
      <color rgb="FF131314"/>
      <name val="Arial"/>
      <family val="2"/>
    </font>
    <font>
      <sz val="12"/>
      <color rgb="FF2C3E5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2CEF0"/>
        <bgColor indexed="64"/>
      </patternFill>
    </fill>
    <fill>
      <patternFill patternType="solid">
        <fgColor rgb="FFFCE2D6"/>
        <bgColor indexed="64"/>
      </patternFill>
    </fill>
    <fill>
      <patternFill patternType="solid">
        <fgColor rgb="FFDAF3D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5" fillId="0" borderId="0" xfId="0" applyFont="1"/>
    <xf numFmtId="0" fontId="5" fillId="0" borderId="1" xfId="0" applyFont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6" fillId="2" borderId="2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5" borderId="2" xfId="0" applyFont="1" applyFill="1" applyBorder="1"/>
    <xf numFmtId="0" fontId="2" fillId="5" borderId="2" xfId="0" applyFont="1" applyFill="1" applyBorder="1"/>
    <xf numFmtId="0" fontId="3" fillId="6" borderId="2" xfId="0" applyFont="1" applyFill="1" applyBorder="1"/>
    <xf numFmtId="0" fontId="2" fillId="6" borderId="2" xfId="0" applyFont="1" applyFill="1" applyBorder="1"/>
    <xf numFmtId="0" fontId="6" fillId="0" borderId="0" xfId="0" applyFont="1"/>
    <xf numFmtId="0" fontId="8" fillId="6" borderId="0" xfId="0" applyFont="1" applyFill="1"/>
    <xf numFmtId="0" fontId="8" fillId="5" borderId="0" xfId="0" applyFont="1" applyFill="1"/>
    <xf numFmtId="0" fontId="1" fillId="5" borderId="0" xfId="0" applyFont="1" applyFill="1"/>
    <xf numFmtId="0" fontId="1" fillId="9" borderId="0" xfId="0" applyFont="1" applyFill="1"/>
    <xf numFmtId="0" fontId="0" fillId="9" borderId="0" xfId="0" applyFill="1"/>
    <xf numFmtId="0" fontId="8" fillId="9" borderId="0" xfId="0" applyFont="1" applyFill="1"/>
    <xf numFmtId="0" fontId="13" fillId="8" borderId="2" xfId="0" applyFont="1" applyFill="1" applyBorder="1"/>
    <xf numFmtId="0" fontId="7" fillId="8" borderId="2" xfId="0" applyFont="1" applyFill="1" applyBorder="1"/>
    <xf numFmtId="0" fontId="11" fillId="7" borderId="2" xfId="0" applyFont="1" applyFill="1" applyBorder="1"/>
    <xf numFmtId="0" fontId="5" fillId="7" borderId="2" xfId="0" applyFont="1" applyFill="1" applyBorder="1"/>
    <xf numFmtId="0" fontId="5" fillId="9" borderId="0" xfId="0" applyFont="1" applyFill="1"/>
    <xf numFmtId="0" fontId="1" fillId="10" borderId="0" xfId="0" applyFont="1" applyFill="1"/>
    <xf numFmtId="0" fontId="0" fillId="10" borderId="0" xfId="0" applyFill="1"/>
    <xf numFmtId="0" fontId="3" fillId="10" borderId="0" xfId="0" applyFont="1" applyFill="1"/>
    <xf numFmtId="0" fontId="2" fillId="10" borderId="0" xfId="0" applyFont="1" applyFill="1"/>
    <xf numFmtId="0" fontId="7" fillId="10" borderId="2" xfId="0" applyFont="1" applyFill="1" applyBorder="1"/>
    <xf numFmtId="0" fontId="9" fillId="7" borderId="2" xfId="0" applyFont="1" applyFill="1" applyBorder="1"/>
    <xf numFmtId="0" fontId="11" fillId="7" borderId="2" xfId="0" applyFont="1" applyFill="1" applyBorder="1" applyAlignment="1">
      <alignment wrapText="1"/>
    </xf>
    <xf numFmtId="0" fontId="12" fillId="7" borderId="2" xfId="0" applyFont="1" applyFill="1" applyBorder="1"/>
    <xf numFmtId="0" fontId="14" fillId="7" borderId="2" xfId="0" applyFont="1" applyFill="1" applyBorder="1"/>
    <xf numFmtId="0" fontId="0" fillId="7" borderId="2" xfId="0" applyFill="1" applyBorder="1"/>
    <xf numFmtId="0" fontId="9" fillId="7" borderId="3" xfId="0" applyFont="1" applyFill="1" applyBorder="1"/>
    <xf numFmtId="0" fontId="5" fillId="7" borderId="3" xfId="0" applyFont="1" applyFill="1" applyBorder="1"/>
    <xf numFmtId="0" fontId="11" fillId="7" borderId="3" xfId="0" applyFont="1" applyFill="1" applyBorder="1"/>
    <xf numFmtId="0" fontId="9" fillId="7" borderId="4" xfId="0" applyFont="1" applyFill="1" applyBorder="1"/>
    <xf numFmtId="0" fontId="11" fillId="7" borderId="4" xfId="0" applyFont="1" applyFill="1" applyBorder="1"/>
    <xf numFmtId="0" fontId="11" fillId="7" borderId="5" xfId="0" applyFont="1" applyFill="1" applyBorder="1"/>
    <xf numFmtId="0" fontId="11" fillId="7" borderId="6" xfId="0" applyFont="1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F3D0"/>
      <color rgb="FFFCE2D6"/>
      <color rgb="FFF2CE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1508-7297-074C-9E99-E32A506A321A}">
  <dimension ref="A1:F102"/>
  <sheetViews>
    <sheetView zoomScale="50" zoomScaleNormal="66" workbookViewId="0">
      <selection activeCell="E32" sqref="E32"/>
    </sheetView>
  </sheetViews>
  <sheetFormatPr defaultColWidth="10.8125" defaultRowHeight="15" x14ac:dyDescent="0.4"/>
  <cols>
    <col min="1" max="1" width="5.5" style="3" bestFit="1" customWidth="1"/>
    <col min="2" max="2" width="171.1875" style="2" customWidth="1"/>
    <col min="3" max="3" width="39.6875" style="2" customWidth="1"/>
    <col min="4" max="4" width="28.1875" style="2" customWidth="1"/>
    <col min="5" max="5" width="220.6875" style="2" customWidth="1"/>
    <col min="6" max="6" width="20.5" style="2" bestFit="1" customWidth="1"/>
    <col min="7" max="16384" width="10.8125" style="2"/>
  </cols>
  <sheetData>
    <row r="1" spans="1:6" x14ac:dyDescent="0.4">
      <c r="A1" s="2"/>
    </row>
    <row r="2" spans="1:6" ht="17.649999999999999" x14ac:dyDescent="0.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15"/>
    </row>
    <row r="3" spans="1:6" ht="17.649999999999999" x14ac:dyDescent="0.5">
      <c r="A3" s="8">
        <v>1</v>
      </c>
      <c r="B3" s="4" t="s">
        <v>61</v>
      </c>
      <c r="C3" s="4" t="s">
        <v>5</v>
      </c>
      <c r="D3" s="4" t="s">
        <v>6</v>
      </c>
      <c r="E3" s="4" t="s">
        <v>7</v>
      </c>
      <c r="F3" s="1"/>
    </row>
    <row r="4" spans="1:6" ht="17.649999999999999" x14ac:dyDescent="0.5">
      <c r="A4" s="8">
        <v>2</v>
      </c>
      <c r="B4" s="4" t="s">
        <v>62</v>
      </c>
      <c r="C4" s="4" t="s">
        <v>63</v>
      </c>
      <c r="D4" s="4" t="s">
        <v>6</v>
      </c>
      <c r="E4" s="4" t="s">
        <v>8</v>
      </c>
      <c r="F4" s="1"/>
    </row>
    <row r="5" spans="1:6" ht="17.649999999999999" x14ac:dyDescent="0.5">
      <c r="A5" s="8">
        <v>3</v>
      </c>
      <c r="B5" s="4" t="s">
        <v>64</v>
      </c>
      <c r="C5" s="4" t="s">
        <v>65</v>
      </c>
      <c r="D5" s="4" t="s">
        <v>6</v>
      </c>
      <c r="E5" s="4" t="s">
        <v>9</v>
      </c>
      <c r="F5" s="1"/>
    </row>
    <row r="6" spans="1:6" ht="17.649999999999999" x14ac:dyDescent="0.5">
      <c r="A6" s="8">
        <v>4</v>
      </c>
      <c r="B6" s="4" t="s">
        <v>66</v>
      </c>
      <c r="C6" s="4" t="s">
        <v>5</v>
      </c>
      <c r="D6" s="4" t="s">
        <v>6</v>
      </c>
      <c r="E6" s="4" t="s">
        <v>10</v>
      </c>
      <c r="F6" s="1"/>
    </row>
    <row r="7" spans="1:6" ht="17.649999999999999" x14ac:dyDescent="0.5">
      <c r="A7" s="8">
        <v>5</v>
      </c>
      <c r="B7" s="4" t="s">
        <v>67</v>
      </c>
      <c r="C7" s="4" t="s">
        <v>5</v>
      </c>
      <c r="D7" s="4" t="s">
        <v>6</v>
      </c>
      <c r="E7" s="4" t="s">
        <v>11</v>
      </c>
      <c r="F7" s="1"/>
    </row>
    <row r="8" spans="1:6" ht="17.649999999999999" x14ac:dyDescent="0.5">
      <c r="A8" s="8">
        <v>6</v>
      </c>
      <c r="B8" s="4" t="s">
        <v>68</v>
      </c>
      <c r="C8" s="4" t="s">
        <v>5</v>
      </c>
      <c r="D8" s="4" t="s">
        <v>6</v>
      </c>
      <c r="E8" s="4" t="s">
        <v>12</v>
      </c>
      <c r="F8" s="1"/>
    </row>
    <row r="9" spans="1:6" ht="17.649999999999999" x14ac:dyDescent="0.5">
      <c r="A9" s="8">
        <v>7</v>
      </c>
      <c r="B9" s="4" t="s">
        <v>69</v>
      </c>
      <c r="C9" s="4" t="s">
        <v>70</v>
      </c>
      <c r="D9" s="4" t="s">
        <v>6</v>
      </c>
      <c r="E9" s="4" t="s">
        <v>13</v>
      </c>
      <c r="F9" s="1"/>
    </row>
    <row r="10" spans="1:6" ht="17.649999999999999" x14ac:dyDescent="0.5">
      <c r="A10" s="8">
        <v>8</v>
      </c>
      <c r="B10" s="4" t="s">
        <v>71</v>
      </c>
      <c r="C10" s="4" t="s">
        <v>5</v>
      </c>
      <c r="D10" s="4" t="s">
        <v>6</v>
      </c>
      <c r="E10" s="4" t="s">
        <v>14</v>
      </c>
      <c r="F10" s="1"/>
    </row>
    <row r="11" spans="1:6" ht="17.649999999999999" x14ac:dyDescent="0.5">
      <c r="A11" s="8">
        <v>9</v>
      </c>
      <c r="B11" s="4" t="s">
        <v>72</v>
      </c>
      <c r="C11" s="4" t="s">
        <v>73</v>
      </c>
      <c r="D11" s="4" t="s">
        <v>6</v>
      </c>
      <c r="E11" s="4" t="s">
        <v>15</v>
      </c>
      <c r="F11" s="1"/>
    </row>
    <row r="12" spans="1:6" ht="17.649999999999999" x14ac:dyDescent="0.5">
      <c r="A12" s="8">
        <v>10</v>
      </c>
      <c r="B12" s="4" t="s">
        <v>74</v>
      </c>
      <c r="C12" s="4" t="s">
        <v>70</v>
      </c>
      <c r="D12" s="4" t="s">
        <v>6</v>
      </c>
      <c r="E12" s="4" t="s">
        <v>16</v>
      </c>
      <c r="F12" s="1"/>
    </row>
    <row r="13" spans="1:6" ht="17.649999999999999" x14ac:dyDescent="0.5">
      <c r="A13" s="8">
        <v>11</v>
      </c>
      <c r="B13" s="4" t="s">
        <v>75</v>
      </c>
      <c r="C13" s="4" t="s">
        <v>73</v>
      </c>
      <c r="D13" s="4" t="s">
        <v>6</v>
      </c>
      <c r="E13" s="4" t="s">
        <v>17</v>
      </c>
      <c r="F13" s="1"/>
    </row>
    <row r="14" spans="1:6" ht="17.649999999999999" x14ac:dyDescent="0.5">
      <c r="A14" s="9">
        <v>12</v>
      </c>
      <c r="B14" s="5" t="s">
        <v>108</v>
      </c>
      <c r="C14" s="5" t="s">
        <v>18</v>
      </c>
      <c r="D14" s="5" t="s">
        <v>19</v>
      </c>
      <c r="E14" s="5" t="s">
        <v>20</v>
      </c>
      <c r="F14" s="1"/>
    </row>
    <row r="15" spans="1:6" ht="17.649999999999999" x14ac:dyDescent="0.5">
      <c r="A15" s="8">
        <v>13</v>
      </c>
      <c r="B15" s="4" t="s">
        <v>76</v>
      </c>
      <c r="C15" s="4" t="s">
        <v>5</v>
      </c>
      <c r="D15" s="4" t="s">
        <v>6</v>
      </c>
      <c r="E15" s="4" t="s">
        <v>21</v>
      </c>
      <c r="F15" s="1"/>
    </row>
    <row r="16" spans="1:6" ht="17.649999999999999" x14ac:dyDescent="0.5">
      <c r="A16" s="8">
        <v>14</v>
      </c>
      <c r="B16" s="4" t="s">
        <v>77</v>
      </c>
      <c r="C16" s="4" t="s">
        <v>78</v>
      </c>
      <c r="D16" s="4" t="s">
        <v>6</v>
      </c>
      <c r="E16" s="4" t="s">
        <v>22</v>
      </c>
      <c r="F16" s="1"/>
    </row>
    <row r="17" spans="1:6" ht="17.649999999999999" x14ac:dyDescent="0.5">
      <c r="A17" s="8">
        <v>15</v>
      </c>
      <c r="B17" s="4" t="s">
        <v>79</v>
      </c>
      <c r="C17" s="4" t="s">
        <v>73</v>
      </c>
      <c r="D17" s="4" t="s">
        <v>6</v>
      </c>
      <c r="E17" s="4" t="s">
        <v>23</v>
      </c>
      <c r="F17" s="1"/>
    </row>
    <row r="18" spans="1:6" ht="17.649999999999999" x14ac:dyDescent="0.5">
      <c r="A18" s="8">
        <v>16</v>
      </c>
      <c r="B18" s="4" t="s">
        <v>80</v>
      </c>
      <c r="C18" s="4" t="s">
        <v>5</v>
      </c>
      <c r="D18" s="4" t="s">
        <v>6</v>
      </c>
      <c r="E18" s="4" t="s">
        <v>24</v>
      </c>
      <c r="F18" s="1"/>
    </row>
    <row r="19" spans="1:6" ht="17.649999999999999" x14ac:dyDescent="0.5">
      <c r="A19" s="8">
        <v>17</v>
      </c>
      <c r="B19" s="4" t="s">
        <v>81</v>
      </c>
      <c r="C19" s="4" t="s">
        <v>5</v>
      </c>
      <c r="D19" s="4" t="s">
        <v>6</v>
      </c>
      <c r="E19" s="4" t="s">
        <v>25</v>
      </c>
      <c r="F19" s="1"/>
    </row>
    <row r="20" spans="1:6" ht="17.649999999999999" x14ac:dyDescent="0.5">
      <c r="A20" s="8">
        <v>18</v>
      </c>
      <c r="B20" s="4" t="s">
        <v>82</v>
      </c>
      <c r="C20" s="4" t="s">
        <v>5</v>
      </c>
      <c r="D20" s="4" t="s">
        <v>6</v>
      </c>
      <c r="E20" s="4" t="s">
        <v>26</v>
      </c>
      <c r="F20" s="1"/>
    </row>
    <row r="21" spans="1:6" ht="17.649999999999999" x14ac:dyDescent="0.5">
      <c r="A21" s="8">
        <v>19</v>
      </c>
      <c r="B21" s="4" t="s">
        <v>83</v>
      </c>
      <c r="C21" s="4" t="s">
        <v>5</v>
      </c>
      <c r="D21" s="4" t="s">
        <v>6</v>
      </c>
      <c r="E21" s="4" t="s">
        <v>27</v>
      </c>
      <c r="F21" s="1"/>
    </row>
    <row r="22" spans="1:6" ht="17.649999999999999" x14ac:dyDescent="0.5">
      <c r="A22" s="8">
        <v>20</v>
      </c>
      <c r="B22" s="4" t="s">
        <v>84</v>
      </c>
      <c r="C22" s="4" t="s">
        <v>5</v>
      </c>
      <c r="D22" s="4" t="s">
        <v>6</v>
      </c>
      <c r="E22" s="4" t="s">
        <v>28</v>
      </c>
      <c r="F22" s="1"/>
    </row>
    <row r="23" spans="1:6" ht="17.649999999999999" x14ac:dyDescent="0.5">
      <c r="A23" s="8">
        <v>21</v>
      </c>
      <c r="B23" s="4" t="s">
        <v>85</v>
      </c>
      <c r="C23" s="4" t="s">
        <v>5</v>
      </c>
      <c r="D23" s="4" t="s">
        <v>6</v>
      </c>
      <c r="E23" s="4" t="s">
        <v>29</v>
      </c>
      <c r="F23" s="1"/>
    </row>
    <row r="24" spans="1:6" ht="17.649999999999999" x14ac:dyDescent="0.5">
      <c r="A24" s="8">
        <v>22</v>
      </c>
      <c r="B24" s="4" t="s">
        <v>86</v>
      </c>
      <c r="C24" s="4" t="s">
        <v>87</v>
      </c>
      <c r="D24" s="4" t="s">
        <v>88</v>
      </c>
      <c r="E24" s="4" t="s">
        <v>30</v>
      </c>
      <c r="F24" s="1"/>
    </row>
    <row r="25" spans="1:6" ht="17.649999999999999" x14ac:dyDescent="0.5">
      <c r="A25" s="8">
        <v>23</v>
      </c>
      <c r="B25" s="4" t="s">
        <v>89</v>
      </c>
      <c r="C25" s="4" t="s">
        <v>31</v>
      </c>
      <c r="D25" s="4" t="s">
        <v>31</v>
      </c>
      <c r="E25" s="4" t="s">
        <v>32</v>
      </c>
      <c r="F25" s="1"/>
    </row>
    <row r="26" spans="1:6" ht="17.649999999999999" x14ac:dyDescent="0.5">
      <c r="A26" s="9">
        <v>24</v>
      </c>
      <c r="B26" s="5" t="s">
        <v>90</v>
      </c>
      <c r="C26" s="5" t="s">
        <v>33</v>
      </c>
      <c r="D26" s="5" t="s">
        <v>33</v>
      </c>
      <c r="E26" s="5" t="s">
        <v>34</v>
      </c>
      <c r="F26" s="1"/>
    </row>
    <row r="27" spans="1:6" ht="17.649999999999999" x14ac:dyDescent="0.5">
      <c r="A27" s="8">
        <v>25</v>
      </c>
      <c r="B27" s="4" t="s">
        <v>91</v>
      </c>
      <c r="C27" s="4" t="s">
        <v>92</v>
      </c>
      <c r="D27" s="4" t="s">
        <v>6</v>
      </c>
      <c r="E27" s="4" t="s">
        <v>35</v>
      </c>
      <c r="F27" s="1"/>
    </row>
    <row r="28" spans="1:6" ht="17.649999999999999" x14ac:dyDescent="0.5">
      <c r="A28" s="8">
        <v>26</v>
      </c>
      <c r="B28" s="4" t="s">
        <v>93</v>
      </c>
      <c r="C28" s="4" t="s">
        <v>5</v>
      </c>
      <c r="D28" s="4" t="s">
        <v>6</v>
      </c>
      <c r="E28" s="4" t="s">
        <v>36</v>
      </c>
      <c r="F28" s="1"/>
    </row>
    <row r="29" spans="1:6" ht="17.649999999999999" x14ac:dyDescent="0.5">
      <c r="A29" s="8">
        <v>27</v>
      </c>
      <c r="B29" s="4" t="s">
        <v>94</v>
      </c>
      <c r="C29" s="4" t="s">
        <v>73</v>
      </c>
      <c r="D29" s="4" t="s">
        <v>6</v>
      </c>
      <c r="E29" s="4" t="s">
        <v>37</v>
      </c>
      <c r="F29" s="1"/>
    </row>
    <row r="30" spans="1:6" ht="17.649999999999999" x14ac:dyDescent="0.5">
      <c r="A30" s="8">
        <v>28</v>
      </c>
      <c r="B30" s="4" t="s">
        <v>109</v>
      </c>
      <c r="C30" s="4" t="s">
        <v>95</v>
      </c>
      <c r="D30" s="4" t="s">
        <v>95</v>
      </c>
      <c r="E30" s="4" t="s">
        <v>38</v>
      </c>
      <c r="F30" s="1"/>
    </row>
    <row r="31" spans="1:6" ht="17.649999999999999" x14ac:dyDescent="0.5">
      <c r="A31" s="8">
        <v>29</v>
      </c>
      <c r="B31" s="4" t="s">
        <v>96</v>
      </c>
      <c r="C31" s="4" t="s">
        <v>5</v>
      </c>
      <c r="D31" s="4" t="s">
        <v>6</v>
      </c>
      <c r="E31" s="4" t="s">
        <v>39</v>
      </c>
      <c r="F31" s="1"/>
    </row>
    <row r="32" spans="1:6" ht="17.649999999999999" x14ac:dyDescent="0.5">
      <c r="A32" s="8">
        <v>30</v>
      </c>
      <c r="B32" s="4" t="s">
        <v>97</v>
      </c>
      <c r="C32" s="4" t="s">
        <v>5</v>
      </c>
      <c r="D32" s="4" t="s">
        <v>6</v>
      </c>
      <c r="E32" s="4" t="s">
        <v>40</v>
      </c>
      <c r="F32" s="1"/>
    </row>
    <row r="33" spans="1:6" ht="17.649999999999999" x14ac:dyDescent="0.5">
      <c r="A33" s="8">
        <v>31</v>
      </c>
      <c r="B33" s="4" t="s">
        <v>98</v>
      </c>
      <c r="C33" s="4" t="s">
        <v>5</v>
      </c>
      <c r="D33" s="4" t="s">
        <v>6</v>
      </c>
      <c r="E33" s="4" t="s">
        <v>41</v>
      </c>
      <c r="F33" s="1"/>
    </row>
    <row r="34" spans="1:6" ht="17.649999999999999" x14ac:dyDescent="0.5">
      <c r="A34" s="8">
        <v>32</v>
      </c>
      <c r="B34" s="4" t="s">
        <v>99</v>
      </c>
      <c r="C34" s="4" t="s">
        <v>5</v>
      </c>
      <c r="D34" s="4" t="s">
        <v>6</v>
      </c>
      <c r="E34" s="4" t="s">
        <v>42</v>
      </c>
      <c r="F34" s="1"/>
    </row>
    <row r="35" spans="1:6" ht="17.649999999999999" x14ac:dyDescent="0.5">
      <c r="A35" s="8">
        <v>33</v>
      </c>
      <c r="B35" s="4" t="s">
        <v>100</v>
      </c>
      <c r="C35" s="4" t="s">
        <v>5</v>
      </c>
      <c r="D35" s="4" t="s">
        <v>6</v>
      </c>
      <c r="E35" s="4" t="s">
        <v>43</v>
      </c>
      <c r="F35" s="1"/>
    </row>
    <row r="36" spans="1:6" ht="17.649999999999999" x14ac:dyDescent="0.5">
      <c r="A36" s="8">
        <v>34</v>
      </c>
      <c r="B36" s="4" t="s">
        <v>101</v>
      </c>
      <c r="C36" s="4" t="s">
        <v>5</v>
      </c>
      <c r="D36" s="4" t="s">
        <v>6</v>
      </c>
      <c r="E36" s="4" t="s">
        <v>44</v>
      </c>
      <c r="F36" s="1"/>
    </row>
    <row r="37" spans="1:6" ht="17.649999999999999" x14ac:dyDescent="0.5">
      <c r="A37" s="8">
        <v>35</v>
      </c>
      <c r="B37" s="4" t="s">
        <v>110</v>
      </c>
      <c r="C37" s="4" t="s">
        <v>102</v>
      </c>
      <c r="D37" s="4" t="s">
        <v>102</v>
      </c>
      <c r="E37" s="4" t="s">
        <v>45</v>
      </c>
      <c r="F37" s="1"/>
    </row>
    <row r="38" spans="1:6" ht="17.649999999999999" x14ac:dyDescent="0.5">
      <c r="A38" s="8">
        <v>36</v>
      </c>
      <c r="B38" s="4" t="s">
        <v>103</v>
      </c>
      <c r="C38" s="4" t="s">
        <v>5</v>
      </c>
      <c r="D38" s="4" t="s">
        <v>6</v>
      </c>
      <c r="E38" s="4" t="s">
        <v>46</v>
      </c>
      <c r="F38" s="1"/>
    </row>
    <row r="39" spans="1:6" ht="17.649999999999999" x14ac:dyDescent="0.5">
      <c r="A39" s="8">
        <v>37</v>
      </c>
      <c r="B39" s="4" t="s">
        <v>104</v>
      </c>
      <c r="C39" s="4" t="s">
        <v>5</v>
      </c>
      <c r="D39" s="4" t="s">
        <v>6</v>
      </c>
      <c r="E39" s="4" t="s">
        <v>47</v>
      </c>
      <c r="F39" s="1"/>
    </row>
    <row r="40" spans="1:6" ht="17.649999999999999" x14ac:dyDescent="0.5">
      <c r="A40" s="8">
        <v>38</v>
      </c>
      <c r="B40" s="4" t="s">
        <v>105</v>
      </c>
      <c r="C40" s="4" t="s">
        <v>5</v>
      </c>
      <c r="D40" s="4" t="s">
        <v>6</v>
      </c>
      <c r="E40" s="4" t="s">
        <v>48</v>
      </c>
      <c r="F40" s="1"/>
    </row>
    <row r="41" spans="1:6" ht="17.649999999999999" x14ac:dyDescent="0.5">
      <c r="A41" s="9">
        <v>39</v>
      </c>
      <c r="B41" s="5" t="s">
        <v>106</v>
      </c>
      <c r="C41" s="5" t="s">
        <v>6</v>
      </c>
      <c r="D41" s="5" t="s">
        <v>5</v>
      </c>
      <c r="E41" s="5" t="s">
        <v>49</v>
      </c>
      <c r="F41" s="1"/>
    </row>
    <row r="42" spans="1:6" ht="17.649999999999999" x14ac:dyDescent="0.5">
      <c r="A42" s="9">
        <v>40</v>
      </c>
      <c r="B42" s="5" t="s">
        <v>111</v>
      </c>
      <c r="C42" s="5" t="s">
        <v>6</v>
      </c>
      <c r="D42" s="5" t="s">
        <v>5</v>
      </c>
      <c r="E42" s="5" t="s">
        <v>50</v>
      </c>
      <c r="F42" s="1"/>
    </row>
    <row r="43" spans="1:6" ht="17.649999999999999" x14ac:dyDescent="0.5">
      <c r="A43" s="9">
        <v>41</v>
      </c>
      <c r="B43" s="5" t="s">
        <v>112</v>
      </c>
      <c r="C43" s="5" t="s">
        <v>6</v>
      </c>
      <c r="D43" s="5" t="s">
        <v>5</v>
      </c>
      <c r="E43" s="5" t="s">
        <v>51</v>
      </c>
      <c r="F43" s="1"/>
    </row>
    <row r="44" spans="1:6" ht="17.649999999999999" x14ac:dyDescent="0.5">
      <c r="A44" s="9">
        <v>42</v>
      </c>
      <c r="B44" s="5" t="s">
        <v>113</v>
      </c>
      <c r="C44" s="5" t="s">
        <v>6</v>
      </c>
      <c r="D44" s="5" t="s">
        <v>5</v>
      </c>
      <c r="E44" s="5" t="s">
        <v>52</v>
      </c>
      <c r="F44" s="1"/>
    </row>
    <row r="45" spans="1:6" ht="17.649999999999999" x14ac:dyDescent="0.5">
      <c r="A45" s="9">
        <v>43</v>
      </c>
      <c r="B45" s="5" t="s">
        <v>114</v>
      </c>
      <c r="C45" s="5" t="s">
        <v>6</v>
      </c>
      <c r="D45" s="5" t="s">
        <v>5</v>
      </c>
      <c r="E45" s="5" t="s">
        <v>53</v>
      </c>
      <c r="F45" s="1"/>
    </row>
    <row r="46" spans="1:6" ht="17.649999999999999" x14ac:dyDescent="0.5">
      <c r="A46" s="9">
        <v>44</v>
      </c>
      <c r="B46" s="5" t="s">
        <v>115</v>
      </c>
      <c r="C46" s="5" t="s">
        <v>6</v>
      </c>
      <c r="D46" s="5" t="s">
        <v>5</v>
      </c>
      <c r="E46" s="5" t="s">
        <v>54</v>
      </c>
      <c r="F46" s="1"/>
    </row>
    <row r="47" spans="1:6" ht="17.649999999999999" x14ac:dyDescent="0.5">
      <c r="A47" s="9">
        <v>45</v>
      </c>
      <c r="B47" s="5" t="s">
        <v>116</v>
      </c>
      <c r="C47" s="5" t="s">
        <v>6</v>
      </c>
      <c r="D47" s="5" t="s">
        <v>5</v>
      </c>
      <c r="E47" s="5" t="s">
        <v>55</v>
      </c>
      <c r="F47" s="1"/>
    </row>
    <row r="48" spans="1:6" ht="17.649999999999999" x14ac:dyDescent="0.5">
      <c r="A48" s="9">
        <v>46</v>
      </c>
      <c r="B48" s="5" t="s">
        <v>117</v>
      </c>
      <c r="C48" s="5" t="s">
        <v>6</v>
      </c>
      <c r="D48" s="5" t="s">
        <v>5</v>
      </c>
      <c r="E48" s="5" t="s">
        <v>56</v>
      </c>
      <c r="F48" s="1"/>
    </row>
    <row r="49" spans="1:6" ht="17.649999999999999" x14ac:dyDescent="0.5">
      <c r="A49" s="8">
        <v>47</v>
      </c>
      <c r="B49" s="4" t="s">
        <v>118</v>
      </c>
      <c r="C49" s="4" t="s">
        <v>5</v>
      </c>
      <c r="D49" s="4" t="s">
        <v>5</v>
      </c>
      <c r="E49" s="4" t="s">
        <v>57</v>
      </c>
      <c r="F49" s="1"/>
    </row>
    <row r="50" spans="1:6" ht="17.649999999999999" x14ac:dyDescent="0.5">
      <c r="A50" s="9">
        <v>48</v>
      </c>
      <c r="B50" s="5" t="s">
        <v>119</v>
      </c>
      <c r="C50" s="5" t="s">
        <v>6</v>
      </c>
      <c r="D50" s="5" t="s">
        <v>5</v>
      </c>
      <c r="E50" s="5" t="s">
        <v>58</v>
      </c>
      <c r="F50" s="1"/>
    </row>
    <row r="51" spans="1:6" ht="17.649999999999999" x14ac:dyDescent="0.5">
      <c r="A51" s="9">
        <v>49</v>
      </c>
      <c r="B51" s="5" t="s">
        <v>120</v>
      </c>
      <c r="C51" s="5" t="s">
        <v>6</v>
      </c>
      <c r="D51" s="5" t="s">
        <v>5</v>
      </c>
      <c r="E51" s="5" t="s">
        <v>59</v>
      </c>
      <c r="F51" s="1"/>
    </row>
    <row r="52" spans="1:6" ht="17.649999999999999" x14ac:dyDescent="0.5">
      <c r="A52" s="10">
        <v>50</v>
      </c>
      <c r="B52" s="6" t="s">
        <v>107</v>
      </c>
      <c r="C52" s="6" t="s">
        <v>33</v>
      </c>
      <c r="D52" s="6" t="s">
        <v>33</v>
      </c>
      <c r="E52" s="5" t="s">
        <v>60</v>
      </c>
      <c r="F52" s="1"/>
    </row>
    <row r="53" spans="1:6" ht="17.649999999999999" x14ac:dyDescent="0.5">
      <c r="A53" s="11">
        <v>51</v>
      </c>
      <c r="B53" s="12" t="s">
        <v>121</v>
      </c>
      <c r="C53" s="12" t="s">
        <v>122</v>
      </c>
      <c r="D53" s="11" t="s">
        <v>5</v>
      </c>
      <c r="E53" s="11" t="s">
        <v>123</v>
      </c>
    </row>
    <row r="54" spans="1:6" ht="17.649999999999999" x14ac:dyDescent="0.5">
      <c r="A54" s="11">
        <v>52</v>
      </c>
      <c r="B54" s="12" t="s">
        <v>124</v>
      </c>
      <c r="C54" s="12" t="s">
        <v>6</v>
      </c>
      <c r="D54" s="11" t="s">
        <v>5</v>
      </c>
      <c r="E54" s="11" t="s">
        <v>125</v>
      </c>
    </row>
    <row r="55" spans="1:6" ht="17.649999999999999" x14ac:dyDescent="0.5">
      <c r="A55" s="11">
        <v>53</v>
      </c>
      <c r="B55" s="12" t="s">
        <v>126</v>
      </c>
      <c r="C55" s="12" t="s">
        <v>6</v>
      </c>
      <c r="D55" s="11" t="s">
        <v>5</v>
      </c>
      <c r="E55" s="11" t="s">
        <v>127</v>
      </c>
    </row>
    <row r="56" spans="1:6" ht="17.649999999999999" x14ac:dyDescent="0.5">
      <c r="A56" s="11">
        <v>54</v>
      </c>
      <c r="B56" s="12" t="s">
        <v>128</v>
      </c>
      <c r="C56" s="12" t="s">
        <v>6</v>
      </c>
      <c r="D56" s="11" t="s">
        <v>5</v>
      </c>
      <c r="E56" s="11" t="s">
        <v>129</v>
      </c>
    </row>
    <row r="57" spans="1:6" ht="17.649999999999999" x14ac:dyDescent="0.5">
      <c r="A57" s="11">
        <v>55</v>
      </c>
      <c r="B57" s="12" t="s">
        <v>130</v>
      </c>
      <c r="C57" s="12" t="s">
        <v>131</v>
      </c>
      <c r="D57" s="11" t="s">
        <v>5</v>
      </c>
      <c r="E57" s="11" t="s">
        <v>132</v>
      </c>
    </row>
    <row r="58" spans="1:6" ht="17.649999999999999" x14ac:dyDescent="0.5">
      <c r="A58" s="11">
        <v>56</v>
      </c>
      <c r="B58" s="12" t="s">
        <v>133</v>
      </c>
      <c r="C58" s="12" t="s">
        <v>6</v>
      </c>
      <c r="D58" s="11" t="s">
        <v>5</v>
      </c>
      <c r="E58" s="11" t="s">
        <v>134</v>
      </c>
    </row>
    <row r="59" spans="1:6" ht="17.649999999999999" x14ac:dyDescent="0.5">
      <c r="A59" s="11">
        <v>57</v>
      </c>
      <c r="B59" s="12" t="s">
        <v>135</v>
      </c>
      <c r="C59" s="12" t="s">
        <v>136</v>
      </c>
      <c r="D59" s="11" t="s">
        <v>5</v>
      </c>
      <c r="E59" s="11" t="s">
        <v>137</v>
      </c>
    </row>
    <row r="60" spans="1:6" ht="17.649999999999999" x14ac:dyDescent="0.5">
      <c r="A60" s="13">
        <v>58</v>
      </c>
      <c r="B60" s="14" t="s">
        <v>138</v>
      </c>
      <c r="C60" s="13" t="s">
        <v>5</v>
      </c>
      <c r="D60" s="14" t="s">
        <v>6</v>
      </c>
      <c r="E60" s="13" t="s">
        <v>139</v>
      </c>
    </row>
    <row r="61" spans="1:6" ht="17.649999999999999" x14ac:dyDescent="0.5">
      <c r="A61" s="13">
        <v>59</v>
      </c>
      <c r="B61" s="14" t="s">
        <v>140</v>
      </c>
      <c r="C61" s="13" t="s">
        <v>5</v>
      </c>
      <c r="D61" s="14" t="s">
        <v>6</v>
      </c>
      <c r="E61" s="13" t="s">
        <v>141</v>
      </c>
    </row>
    <row r="62" spans="1:6" ht="17.649999999999999" x14ac:dyDescent="0.5">
      <c r="A62" s="13">
        <v>60</v>
      </c>
      <c r="B62" s="14" t="s">
        <v>142</v>
      </c>
      <c r="C62" s="13" t="s">
        <v>5</v>
      </c>
      <c r="D62" s="13" t="s">
        <v>5</v>
      </c>
      <c r="E62" s="13" t="s">
        <v>143</v>
      </c>
    </row>
    <row r="63" spans="1:6" ht="17.649999999999999" x14ac:dyDescent="0.5">
      <c r="A63" s="11">
        <v>61</v>
      </c>
      <c r="B63" s="12" t="s">
        <v>144</v>
      </c>
      <c r="C63" s="12" t="s">
        <v>6</v>
      </c>
      <c r="D63" s="11" t="s">
        <v>5</v>
      </c>
      <c r="E63" s="11" t="s">
        <v>145</v>
      </c>
    </row>
    <row r="64" spans="1:6" ht="17.649999999999999" x14ac:dyDescent="0.5">
      <c r="A64" s="11">
        <v>62</v>
      </c>
      <c r="B64" s="12" t="s">
        <v>146</v>
      </c>
      <c r="C64" s="11" t="s">
        <v>5</v>
      </c>
      <c r="D64" s="11" t="s">
        <v>5</v>
      </c>
      <c r="E64" s="11" t="s">
        <v>147</v>
      </c>
    </row>
    <row r="65" spans="1:5" ht="17.649999999999999" x14ac:dyDescent="0.5">
      <c r="A65" s="13">
        <v>63</v>
      </c>
      <c r="B65" s="14" t="s">
        <v>148</v>
      </c>
      <c r="C65" s="13" t="s">
        <v>5</v>
      </c>
      <c r="D65" s="14" t="s">
        <v>6</v>
      </c>
      <c r="E65" s="13" t="s">
        <v>149</v>
      </c>
    </row>
    <row r="66" spans="1:5" ht="17.649999999999999" x14ac:dyDescent="0.5">
      <c r="A66" s="13">
        <v>64</v>
      </c>
      <c r="B66" s="14" t="s">
        <v>150</v>
      </c>
      <c r="C66" s="13" t="s">
        <v>5</v>
      </c>
      <c r="D66" s="14" t="s">
        <v>6</v>
      </c>
      <c r="E66" s="13" t="s">
        <v>151</v>
      </c>
    </row>
    <row r="67" spans="1:5" ht="17.649999999999999" x14ac:dyDescent="0.5">
      <c r="A67" s="13">
        <v>65</v>
      </c>
      <c r="B67" s="14" t="s">
        <v>152</v>
      </c>
      <c r="C67" s="13" t="s">
        <v>5</v>
      </c>
      <c r="D67" s="14" t="s">
        <v>6</v>
      </c>
      <c r="E67" s="13" t="s">
        <v>153</v>
      </c>
    </row>
    <row r="68" spans="1:5" ht="17.649999999999999" x14ac:dyDescent="0.5">
      <c r="A68" s="13">
        <v>66</v>
      </c>
      <c r="B68" s="14" t="s">
        <v>154</v>
      </c>
      <c r="C68" s="13" t="s">
        <v>5</v>
      </c>
      <c r="D68" s="14" t="s">
        <v>6</v>
      </c>
      <c r="E68" s="13" t="s">
        <v>155</v>
      </c>
    </row>
    <row r="69" spans="1:5" ht="17.649999999999999" x14ac:dyDescent="0.5">
      <c r="A69" s="13">
        <v>67</v>
      </c>
      <c r="B69" s="14" t="s">
        <v>156</v>
      </c>
      <c r="C69" s="13" t="s">
        <v>5</v>
      </c>
      <c r="D69" s="14" t="s">
        <v>6</v>
      </c>
      <c r="E69" s="13" t="s">
        <v>157</v>
      </c>
    </row>
    <row r="70" spans="1:5" ht="17.649999999999999" x14ac:dyDescent="0.5">
      <c r="A70" s="13">
        <v>68</v>
      </c>
      <c r="B70" s="14" t="s">
        <v>158</v>
      </c>
      <c r="C70" s="13" t="s">
        <v>5</v>
      </c>
      <c r="D70" s="14" t="s">
        <v>6</v>
      </c>
      <c r="E70" s="13" t="s">
        <v>159</v>
      </c>
    </row>
    <row r="71" spans="1:5" ht="17.649999999999999" x14ac:dyDescent="0.5">
      <c r="A71" s="11">
        <v>69</v>
      </c>
      <c r="B71" s="12" t="s">
        <v>160</v>
      </c>
      <c r="C71" s="12" t="s">
        <v>6</v>
      </c>
      <c r="D71" s="11" t="s">
        <v>5</v>
      </c>
      <c r="E71" s="11" t="s">
        <v>161</v>
      </c>
    </row>
    <row r="72" spans="1:5" ht="17.649999999999999" x14ac:dyDescent="0.5">
      <c r="A72" s="11">
        <v>70</v>
      </c>
      <c r="B72" s="12" t="s">
        <v>162</v>
      </c>
      <c r="C72" s="12" t="s">
        <v>163</v>
      </c>
      <c r="D72" s="11" t="s">
        <v>5</v>
      </c>
      <c r="E72" s="11" t="s">
        <v>164</v>
      </c>
    </row>
    <row r="73" spans="1:5" ht="17.649999999999999" x14ac:dyDescent="0.5">
      <c r="A73" s="13">
        <v>71</v>
      </c>
      <c r="B73" s="14" t="s">
        <v>165</v>
      </c>
      <c r="C73" s="13" t="s">
        <v>5</v>
      </c>
      <c r="D73" s="14" t="s">
        <v>6</v>
      </c>
      <c r="E73" s="13" t="s">
        <v>166</v>
      </c>
    </row>
    <row r="74" spans="1:5" ht="17.649999999999999" x14ac:dyDescent="0.5">
      <c r="A74" s="13">
        <v>72</v>
      </c>
      <c r="B74" s="14" t="s">
        <v>167</v>
      </c>
      <c r="C74" s="13" t="s">
        <v>5</v>
      </c>
      <c r="D74" s="14" t="s">
        <v>6</v>
      </c>
      <c r="E74" s="13" t="s">
        <v>168</v>
      </c>
    </row>
    <row r="75" spans="1:5" ht="17.649999999999999" x14ac:dyDescent="0.5">
      <c r="A75" s="11">
        <v>73</v>
      </c>
      <c r="B75" s="12" t="s">
        <v>169</v>
      </c>
      <c r="C75" s="12" t="s">
        <v>6</v>
      </c>
      <c r="D75" s="11" t="s">
        <v>5</v>
      </c>
      <c r="E75" s="11" t="s">
        <v>170</v>
      </c>
    </row>
    <row r="76" spans="1:5" ht="17.649999999999999" x14ac:dyDescent="0.5">
      <c r="A76" s="13">
        <v>74</v>
      </c>
      <c r="B76" s="14" t="s">
        <v>171</v>
      </c>
      <c r="C76" s="13" t="s">
        <v>5</v>
      </c>
      <c r="D76" s="14" t="s">
        <v>6</v>
      </c>
      <c r="E76" s="13" t="s">
        <v>172</v>
      </c>
    </row>
    <row r="77" spans="1:5" ht="17.649999999999999" x14ac:dyDescent="0.5">
      <c r="A77" s="13">
        <v>75</v>
      </c>
      <c r="B77" s="14" t="s">
        <v>173</v>
      </c>
      <c r="C77" s="13" t="s">
        <v>5</v>
      </c>
      <c r="D77" s="14" t="s">
        <v>6</v>
      </c>
      <c r="E77" s="13" t="s">
        <v>174</v>
      </c>
    </row>
    <row r="78" spans="1:5" ht="17.649999999999999" x14ac:dyDescent="0.5">
      <c r="A78" s="11">
        <v>76</v>
      </c>
      <c r="B78" s="12" t="s">
        <v>175</v>
      </c>
      <c r="C78" s="12" t="s">
        <v>6</v>
      </c>
      <c r="D78" s="11" t="s">
        <v>5</v>
      </c>
      <c r="E78" s="11" t="s">
        <v>176</v>
      </c>
    </row>
    <row r="79" spans="1:5" ht="17.649999999999999" x14ac:dyDescent="0.5">
      <c r="A79" s="13">
        <v>77</v>
      </c>
      <c r="B79" s="14" t="s">
        <v>177</v>
      </c>
      <c r="C79" s="13" t="s">
        <v>5</v>
      </c>
      <c r="D79" s="14" t="s">
        <v>6</v>
      </c>
      <c r="E79" s="13" t="s">
        <v>178</v>
      </c>
    </row>
    <row r="80" spans="1:5" ht="17.649999999999999" x14ac:dyDescent="0.5">
      <c r="A80" s="11">
        <v>78</v>
      </c>
      <c r="B80" s="12" t="s">
        <v>179</v>
      </c>
      <c r="C80" s="12" t="s">
        <v>6</v>
      </c>
      <c r="D80" s="11" t="s">
        <v>5</v>
      </c>
      <c r="E80" s="11" t="s">
        <v>180</v>
      </c>
    </row>
    <row r="81" spans="1:5" ht="17.649999999999999" x14ac:dyDescent="0.5">
      <c r="A81" s="13">
        <v>79</v>
      </c>
      <c r="B81" s="14" t="s">
        <v>181</v>
      </c>
      <c r="C81" s="13" t="s">
        <v>5</v>
      </c>
      <c r="D81" s="14" t="s">
        <v>6</v>
      </c>
      <c r="E81" s="13" t="s">
        <v>182</v>
      </c>
    </row>
    <row r="82" spans="1:5" ht="17.649999999999999" x14ac:dyDescent="0.5">
      <c r="A82" s="13">
        <v>80</v>
      </c>
      <c r="B82" s="14" t="s">
        <v>183</v>
      </c>
      <c r="C82" s="13" t="s">
        <v>5</v>
      </c>
      <c r="D82" s="14" t="s">
        <v>6</v>
      </c>
      <c r="E82" s="13" t="s">
        <v>184</v>
      </c>
    </row>
    <row r="83" spans="1:5" ht="17.649999999999999" x14ac:dyDescent="0.5">
      <c r="A83" s="11">
        <v>81</v>
      </c>
      <c r="B83" s="12" t="s">
        <v>185</v>
      </c>
      <c r="C83" s="12" t="s">
        <v>6</v>
      </c>
      <c r="D83" s="11" t="s">
        <v>5</v>
      </c>
      <c r="E83" s="11" t="s">
        <v>186</v>
      </c>
    </row>
    <row r="84" spans="1:5" ht="17.649999999999999" x14ac:dyDescent="0.5">
      <c r="A84" s="13">
        <v>82</v>
      </c>
      <c r="B84" s="14" t="s">
        <v>187</v>
      </c>
      <c r="C84" s="13" t="s">
        <v>5</v>
      </c>
      <c r="D84" s="14" t="s">
        <v>6</v>
      </c>
      <c r="E84" s="13" t="s">
        <v>188</v>
      </c>
    </row>
    <row r="85" spans="1:5" ht="17.649999999999999" x14ac:dyDescent="0.5">
      <c r="A85" s="11">
        <v>83</v>
      </c>
      <c r="B85" s="12" t="s">
        <v>189</v>
      </c>
      <c r="C85" s="12" t="s">
        <v>6</v>
      </c>
      <c r="D85" s="11" t="s">
        <v>5</v>
      </c>
      <c r="E85" s="11" t="s">
        <v>190</v>
      </c>
    </row>
    <row r="86" spans="1:5" ht="17.649999999999999" x14ac:dyDescent="0.5">
      <c r="A86" s="11">
        <v>84</v>
      </c>
      <c r="B86" s="12" t="s">
        <v>191</v>
      </c>
      <c r="C86" s="12" t="s">
        <v>6</v>
      </c>
      <c r="D86" s="11" t="s">
        <v>5</v>
      </c>
      <c r="E86" s="11" t="s">
        <v>186</v>
      </c>
    </row>
    <row r="87" spans="1:5" ht="17.649999999999999" x14ac:dyDescent="0.5">
      <c r="A87" s="13">
        <v>85</v>
      </c>
      <c r="B87" s="14" t="s">
        <v>192</v>
      </c>
      <c r="C87" s="13" t="s">
        <v>5</v>
      </c>
      <c r="D87" s="14" t="s">
        <v>6</v>
      </c>
      <c r="E87" s="13" t="s">
        <v>193</v>
      </c>
    </row>
    <row r="88" spans="1:5" ht="17.649999999999999" x14ac:dyDescent="0.5">
      <c r="A88" s="13">
        <v>86</v>
      </c>
      <c r="B88" s="14" t="s">
        <v>194</v>
      </c>
      <c r="C88" s="13" t="s">
        <v>5</v>
      </c>
      <c r="D88" s="14" t="s">
        <v>6</v>
      </c>
      <c r="E88" s="13" t="s">
        <v>195</v>
      </c>
    </row>
    <row r="89" spans="1:5" ht="17.649999999999999" x14ac:dyDescent="0.5">
      <c r="A89" s="11">
        <v>87</v>
      </c>
      <c r="B89" s="12" t="s">
        <v>196</v>
      </c>
      <c r="C89" s="12" t="s">
        <v>6</v>
      </c>
      <c r="D89" s="11" t="s">
        <v>5</v>
      </c>
      <c r="E89" s="11" t="s">
        <v>197</v>
      </c>
    </row>
    <row r="90" spans="1:5" ht="17.649999999999999" x14ac:dyDescent="0.5">
      <c r="A90" s="13">
        <v>88</v>
      </c>
      <c r="B90" s="14" t="s">
        <v>198</v>
      </c>
      <c r="C90" s="13" t="s">
        <v>5</v>
      </c>
      <c r="D90" s="14" t="s">
        <v>6</v>
      </c>
      <c r="E90" s="13" t="s">
        <v>199</v>
      </c>
    </row>
    <row r="91" spans="1:5" ht="17.649999999999999" x14ac:dyDescent="0.5">
      <c r="A91" s="13">
        <v>89</v>
      </c>
      <c r="B91" s="14" t="s">
        <v>200</v>
      </c>
      <c r="C91" s="13" t="s">
        <v>5</v>
      </c>
      <c r="D91" s="14" t="s">
        <v>6</v>
      </c>
      <c r="E91" s="13" t="s">
        <v>201</v>
      </c>
    </row>
    <row r="92" spans="1:5" ht="17.649999999999999" x14ac:dyDescent="0.5">
      <c r="A92" s="11">
        <v>90</v>
      </c>
      <c r="B92" s="12" t="s">
        <v>202</v>
      </c>
      <c r="C92" s="12" t="s">
        <v>6</v>
      </c>
      <c r="D92" s="11" t="s">
        <v>5</v>
      </c>
      <c r="E92" s="11" t="s">
        <v>203</v>
      </c>
    </row>
    <row r="93" spans="1:5" ht="17.649999999999999" x14ac:dyDescent="0.5">
      <c r="A93" s="11">
        <v>91</v>
      </c>
      <c r="B93" s="12" t="s">
        <v>204</v>
      </c>
      <c r="C93" s="12" t="s">
        <v>205</v>
      </c>
      <c r="D93" s="11" t="s">
        <v>5</v>
      </c>
      <c r="E93" s="11" t="s">
        <v>206</v>
      </c>
    </row>
    <row r="94" spans="1:5" ht="17.649999999999999" x14ac:dyDescent="0.5">
      <c r="A94" s="13">
        <v>92</v>
      </c>
      <c r="B94" s="14" t="s">
        <v>207</v>
      </c>
      <c r="C94" s="13" t="s">
        <v>5</v>
      </c>
      <c r="D94" s="14" t="s">
        <v>6</v>
      </c>
      <c r="E94" s="13" t="s">
        <v>208</v>
      </c>
    </row>
    <row r="95" spans="1:5" ht="17.649999999999999" x14ac:dyDescent="0.5">
      <c r="A95" s="13">
        <v>93</v>
      </c>
      <c r="B95" s="14" t="s">
        <v>209</v>
      </c>
      <c r="C95" s="13" t="s">
        <v>5</v>
      </c>
      <c r="D95" s="14" t="s">
        <v>6</v>
      </c>
      <c r="E95" s="13" t="s">
        <v>210</v>
      </c>
    </row>
    <row r="96" spans="1:5" ht="17.649999999999999" x14ac:dyDescent="0.5">
      <c r="A96" s="11">
        <v>94</v>
      </c>
      <c r="B96" s="12" t="s">
        <v>211</v>
      </c>
      <c r="C96" s="12" t="s">
        <v>6</v>
      </c>
      <c r="D96" s="11" t="s">
        <v>5</v>
      </c>
      <c r="E96" s="11" t="s">
        <v>212</v>
      </c>
    </row>
    <row r="97" spans="1:5" ht="17.649999999999999" x14ac:dyDescent="0.5">
      <c r="A97" s="13">
        <v>95</v>
      </c>
      <c r="B97" s="14" t="s">
        <v>213</v>
      </c>
      <c r="C97" s="13" t="s">
        <v>5</v>
      </c>
      <c r="D97" s="14" t="s">
        <v>6</v>
      </c>
      <c r="E97" s="13" t="s">
        <v>214</v>
      </c>
    </row>
    <row r="98" spans="1:5" ht="17.649999999999999" x14ac:dyDescent="0.5">
      <c r="A98" s="13">
        <v>96</v>
      </c>
      <c r="B98" s="14" t="s">
        <v>215</v>
      </c>
      <c r="C98" s="13" t="s">
        <v>5</v>
      </c>
      <c r="D98" s="14" t="s">
        <v>6</v>
      </c>
      <c r="E98" s="13" t="s">
        <v>216</v>
      </c>
    </row>
    <row r="99" spans="1:5" ht="17.649999999999999" x14ac:dyDescent="0.5">
      <c r="A99" s="11">
        <v>97</v>
      </c>
      <c r="B99" s="12" t="s">
        <v>217</v>
      </c>
      <c r="C99" s="12" t="s">
        <v>6</v>
      </c>
      <c r="D99" s="12" t="s">
        <v>6</v>
      </c>
      <c r="E99" s="12" t="s">
        <v>218</v>
      </c>
    </row>
    <row r="100" spans="1:5" ht="17.649999999999999" x14ac:dyDescent="0.5">
      <c r="A100" s="11">
        <v>98</v>
      </c>
      <c r="B100" s="12" t="s">
        <v>219</v>
      </c>
      <c r="C100" s="12" t="s">
        <v>6</v>
      </c>
      <c r="D100" s="11" t="s">
        <v>5</v>
      </c>
      <c r="E100" s="11" t="s">
        <v>220</v>
      </c>
    </row>
    <row r="101" spans="1:5" ht="17.649999999999999" x14ac:dyDescent="0.5">
      <c r="A101" s="13">
        <v>99</v>
      </c>
      <c r="B101" s="14" t="s">
        <v>221</v>
      </c>
      <c r="C101" s="13" t="s">
        <v>5</v>
      </c>
      <c r="D101" s="14" t="s">
        <v>6</v>
      </c>
      <c r="E101" s="13" t="s">
        <v>222</v>
      </c>
    </row>
    <row r="102" spans="1:5" ht="17.649999999999999" x14ac:dyDescent="0.5">
      <c r="A102" s="13">
        <v>100</v>
      </c>
      <c r="B102" s="14" t="s">
        <v>223</v>
      </c>
      <c r="C102" s="13" t="s">
        <v>5</v>
      </c>
      <c r="D102" s="14" t="s">
        <v>6</v>
      </c>
      <c r="E102" s="13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CDB6-5D1F-A749-A169-0398BFF3C0C1}">
  <dimension ref="A1:I134"/>
  <sheetViews>
    <sheetView tabSelected="1" topLeftCell="A21" zoomScale="40" zoomScaleNormal="40" workbookViewId="0">
      <selection sqref="A1:A1048576"/>
    </sheetView>
  </sheetViews>
  <sheetFormatPr defaultColWidth="10.8125" defaultRowHeight="15.75" x14ac:dyDescent="0.5"/>
  <cols>
    <col min="1" max="1" width="154.8125" style="28" bestFit="1" customWidth="1"/>
    <col min="2" max="2" width="87.5" style="28" bestFit="1" customWidth="1"/>
    <col min="3" max="3" width="83.6875" style="28" bestFit="1" customWidth="1"/>
    <col min="4" max="4" width="29.1875" style="28" bestFit="1" customWidth="1"/>
    <col min="5" max="5" width="24.3125" style="28" bestFit="1" customWidth="1"/>
    <col min="6" max="6" width="85" style="28" bestFit="1" customWidth="1"/>
    <col min="7" max="7" width="101.8125" style="28" bestFit="1" customWidth="1"/>
    <col min="8" max="8" width="105.3125" style="28" bestFit="1" customWidth="1"/>
    <col min="9" max="9" width="189.6875" style="28" bestFit="1" customWidth="1"/>
    <col min="10" max="16384" width="10.8125" style="28"/>
  </cols>
  <sheetData>
    <row r="1" spans="1:9" ht="17.649999999999999" x14ac:dyDescent="0.5">
      <c r="A1" s="31" t="s">
        <v>354</v>
      </c>
      <c r="B1" s="31" t="s">
        <v>234</v>
      </c>
      <c r="C1" s="31" t="s">
        <v>355</v>
      </c>
      <c r="D1" s="31" t="s">
        <v>230</v>
      </c>
      <c r="E1" s="31" t="s">
        <v>356</v>
      </c>
      <c r="F1" s="29"/>
      <c r="G1" s="30"/>
      <c r="H1" s="30"/>
      <c r="I1" s="30"/>
    </row>
    <row r="2" spans="1:9" ht="17.649999999999999" x14ac:dyDescent="0.5">
      <c r="A2" s="32" t="s">
        <v>62</v>
      </c>
      <c r="B2" s="36" t="s">
        <v>461</v>
      </c>
      <c r="C2" s="36" t="s">
        <v>459</v>
      </c>
      <c r="D2" s="24" t="s">
        <v>460</v>
      </c>
      <c r="E2" s="24">
        <f>12.83*10^-6</f>
        <v>1.2829999999999999E-5</v>
      </c>
      <c r="F2" s="30"/>
      <c r="G2" s="30"/>
      <c r="H2" s="30"/>
      <c r="I2" s="30"/>
    </row>
    <row r="3" spans="1:9" ht="17.649999999999999" x14ac:dyDescent="0.5">
      <c r="A3" s="32" t="s">
        <v>62</v>
      </c>
      <c r="B3" s="36" t="s">
        <v>462</v>
      </c>
      <c r="C3" s="36" t="s">
        <v>459</v>
      </c>
      <c r="D3" s="24" t="s">
        <v>460</v>
      </c>
      <c r="E3" s="24">
        <f>12.63*10^-6</f>
        <v>1.2630000000000001E-5</v>
      </c>
      <c r="F3" s="30"/>
      <c r="G3" s="30"/>
      <c r="H3" s="30"/>
      <c r="I3" s="30"/>
    </row>
    <row r="4" spans="1:9" ht="17.649999999999999" x14ac:dyDescent="0.5">
      <c r="A4" s="32" t="s">
        <v>62</v>
      </c>
      <c r="B4" s="36" t="s">
        <v>463</v>
      </c>
      <c r="C4" s="36" t="s">
        <v>459</v>
      </c>
      <c r="D4" s="24" t="s">
        <v>460</v>
      </c>
      <c r="E4" s="24">
        <f>12.21*10^-6</f>
        <v>1.221E-5</v>
      </c>
      <c r="F4" s="30"/>
      <c r="G4" s="30"/>
      <c r="H4" s="30"/>
      <c r="I4" s="30"/>
    </row>
    <row r="5" spans="1:9" ht="17.649999999999999" x14ac:dyDescent="0.5">
      <c r="A5" s="32" t="s">
        <v>62</v>
      </c>
      <c r="B5" s="36" t="s">
        <v>464</v>
      </c>
      <c r="C5" s="36" t="s">
        <v>459</v>
      </c>
      <c r="D5" s="24" t="s">
        <v>460</v>
      </c>
      <c r="E5" s="24">
        <f>11.94*10^-6</f>
        <v>1.1939999999999999E-5</v>
      </c>
      <c r="F5" s="30"/>
      <c r="G5" s="30"/>
      <c r="H5" s="30"/>
      <c r="I5" s="30"/>
    </row>
    <row r="6" spans="1:9" ht="17.649999999999999" x14ac:dyDescent="0.5">
      <c r="A6" s="32" t="s">
        <v>242</v>
      </c>
      <c r="B6" s="24" t="s">
        <v>240</v>
      </c>
      <c r="C6" s="24" t="s">
        <v>239</v>
      </c>
      <c r="D6" s="24" t="s">
        <v>243</v>
      </c>
      <c r="E6" s="32">
        <f>10.75*10^-6</f>
        <v>1.0749999999999999E-5</v>
      </c>
      <c r="F6" s="30"/>
      <c r="G6" s="30"/>
      <c r="H6" s="30"/>
      <c r="I6" s="30"/>
    </row>
    <row r="7" spans="1:9" ht="17.649999999999999" x14ac:dyDescent="0.5">
      <c r="A7" s="32" t="s">
        <v>242</v>
      </c>
      <c r="B7" s="25" t="s">
        <v>241</v>
      </c>
      <c r="C7" s="24" t="s">
        <v>239</v>
      </c>
      <c r="D7" s="24" t="s">
        <v>243</v>
      </c>
      <c r="E7" s="32">
        <f>10.75*10^-6</f>
        <v>1.0749999999999999E-5</v>
      </c>
      <c r="F7" s="30"/>
      <c r="G7" s="30"/>
      <c r="H7" s="30"/>
      <c r="I7" s="30"/>
    </row>
    <row r="8" spans="1:9" ht="17.649999999999999" x14ac:dyDescent="0.5">
      <c r="A8" s="32" t="s">
        <v>66</v>
      </c>
      <c r="B8" s="32" t="s">
        <v>245</v>
      </c>
      <c r="C8" s="32" t="s">
        <v>244</v>
      </c>
      <c r="D8" s="24" t="s">
        <v>247</v>
      </c>
      <c r="E8" s="24">
        <f>8.1 * 10^-6</f>
        <v>8.0999999999999987E-6</v>
      </c>
      <c r="F8" s="30"/>
      <c r="G8" s="30"/>
      <c r="H8" s="30"/>
      <c r="I8" s="30"/>
    </row>
    <row r="9" spans="1:9" ht="17.649999999999999" x14ac:dyDescent="0.5">
      <c r="A9" s="32" t="s">
        <v>66</v>
      </c>
      <c r="B9" s="32" t="s">
        <v>246</v>
      </c>
      <c r="C9" s="32" t="s">
        <v>244</v>
      </c>
      <c r="D9" s="24" t="s">
        <v>247</v>
      </c>
      <c r="E9" s="24">
        <f>8*10^-6</f>
        <v>7.9999999999999996E-6</v>
      </c>
      <c r="F9" s="30"/>
      <c r="G9" s="30"/>
      <c r="H9" s="30"/>
      <c r="I9" s="30"/>
    </row>
    <row r="10" spans="1:9" ht="17.649999999999999" x14ac:dyDescent="0.5">
      <c r="A10" s="32" t="s">
        <v>67</v>
      </c>
      <c r="B10" s="32" t="s">
        <v>238</v>
      </c>
      <c r="C10" s="32" t="s">
        <v>248</v>
      </c>
      <c r="D10" s="24" t="s">
        <v>249</v>
      </c>
      <c r="E10" s="24">
        <f>13.04*10^-6</f>
        <v>1.3039999999999999E-5</v>
      </c>
      <c r="F10" s="30"/>
      <c r="G10" s="30"/>
      <c r="H10" s="30"/>
      <c r="I10" s="30"/>
    </row>
    <row r="11" spans="1:9" ht="17.649999999999999" x14ac:dyDescent="0.5">
      <c r="A11" s="32" t="s">
        <v>250</v>
      </c>
      <c r="B11" s="38" t="s">
        <v>465</v>
      </c>
      <c r="C11" s="37" t="s">
        <v>248</v>
      </c>
      <c r="D11" s="39" t="s">
        <v>249</v>
      </c>
      <c r="E11" s="42">
        <f>12.28*10^-6</f>
        <v>1.2279999999999999E-5</v>
      </c>
      <c r="F11" s="30"/>
      <c r="G11" s="30"/>
      <c r="H11" s="30"/>
      <c r="I11" s="30"/>
    </row>
    <row r="12" spans="1:9" ht="17.649999999999999" x14ac:dyDescent="0.5">
      <c r="A12" s="32" t="s">
        <v>250</v>
      </c>
      <c r="B12" s="36" t="s">
        <v>466</v>
      </c>
      <c r="C12" s="32" t="s">
        <v>248</v>
      </c>
      <c r="D12" s="24" t="s">
        <v>249</v>
      </c>
      <c r="E12" s="43">
        <f>11.07*10^-6</f>
        <v>1.1069999999999999E-5</v>
      </c>
      <c r="F12" s="30"/>
      <c r="G12" s="30"/>
      <c r="H12" s="30"/>
      <c r="I12" s="30"/>
    </row>
    <row r="13" spans="1:9" ht="17.649999999999999" x14ac:dyDescent="0.5">
      <c r="A13" s="32" t="s">
        <v>250</v>
      </c>
      <c r="B13" s="36" t="s">
        <v>467</v>
      </c>
      <c r="C13" s="32" t="s">
        <v>248</v>
      </c>
      <c r="D13" s="24" t="s">
        <v>249</v>
      </c>
      <c r="E13" s="43">
        <f>11.67*10^-6</f>
        <v>1.167E-5</v>
      </c>
      <c r="F13" s="30"/>
      <c r="G13" s="30"/>
      <c r="H13" s="30"/>
      <c r="I13" s="30"/>
    </row>
    <row r="14" spans="1:9" ht="17.649999999999999" x14ac:dyDescent="0.5">
      <c r="A14" s="32" t="s">
        <v>250</v>
      </c>
      <c r="B14" s="36" t="s">
        <v>468</v>
      </c>
      <c r="C14" s="32" t="s">
        <v>248</v>
      </c>
      <c r="D14" s="24" t="s">
        <v>249</v>
      </c>
      <c r="E14" s="43">
        <f>12.57*10^-6</f>
        <v>1.257E-5</v>
      </c>
      <c r="F14" s="30"/>
      <c r="G14" s="30"/>
      <c r="H14" s="30"/>
      <c r="I14" s="30"/>
    </row>
    <row r="15" spans="1:9" ht="17.649999999999999" x14ac:dyDescent="0.5">
      <c r="A15" s="32" t="s">
        <v>250</v>
      </c>
      <c r="B15" s="36" t="s">
        <v>469</v>
      </c>
      <c r="C15" s="32" t="s">
        <v>248</v>
      </c>
      <c r="D15" s="24" t="s">
        <v>249</v>
      </c>
      <c r="E15" s="43">
        <f>12.18*10^-6</f>
        <v>1.2179999999999999E-5</v>
      </c>
      <c r="F15" s="30"/>
      <c r="G15" s="30"/>
      <c r="H15" s="30"/>
      <c r="I15" s="30"/>
    </row>
    <row r="16" spans="1:9" ht="17.649999999999999" x14ac:dyDescent="0.5">
      <c r="A16" s="32" t="s">
        <v>250</v>
      </c>
      <c r="B16" s="36" t="s">
        <v>470</v>
      </c>
      <c r="C16" s="32" t="s">
        <v>248</v>
      </c>
      <c r="D16" s="24" t="s">
        <v>249</v>
      </c>
      <c r="E16" s="43">
        <f>11.05*10^-6</f>
        <v>1.1050000000000001E-5</v>
      </c>
      <c r="F16" s="30"/>
      <c r="G16" s="30"/>
      <c r="H16" s="30"/>
      <c r="I16" s="30"/>
    </row>
    <row r="17" spans="1:9" ht="17.649999999999999" x14ac:dyDescent="0.5">
      <c r="A17" s="32" t="s">
        <v>251</v>
      </c>
      <c r="B17" s="36" t="s">
        <v>471</v>
      </c>
      <c r="C17" s="32" t="s">
        <v>248</v>
      </c>
      <c r="D17" s="24" t="s">
        <v>249</v>
      </c>
      <c r="E17" s="43">
        <f>11.09*10^-6</f>
        <v>1.1089999999999999E-5</v>
      </c>
      <c r="F17" s="30"/>
      <c r="G17" s="30"/>
      <c r="H17" s="30"/>
      <c r="I17" s="30"/>
    </row>
    <row r="18" spans="1:9" ht="17.649999999999999" x14ac:dyDescent="0.5">
      <c r="A18" s="32" t="s">
        <v>250</v>
      </c>
      <c r="B18" s="36" t="s">
        <v>472</v>
      </c>
      <c r="C18" s="32" t="s">
        <v>248</v>
      </c>
      <c r="D18" s="24" t="s">
        <v>249</v>
      </c>
      <c r="E18" s="43">
        <f>11.28*10^-6</f>
        <v>1.1279999999999999E-5</v>
      </c>
      <c r="F18" s="30"/>
      <c r="G18" s="30"/>
      <c r="H18" s="30"/>
      <c r="I18" s="30"/>
    </row>
    <row r="19" spans="1:9" ht="17.649999999999999" x14ac:dyDescent="0.5">
      <c r="A19" s="40" t="s">
        <v>68</v>
      </c>
      <c r="B19" s="40" t="s">
        <v>253</v>
      </c>
      <c r="C19" s="40" t="s">
        <v>256</v>
      </c>
      <c r="D19" s="41" t="s">
        <v>257</v>
      </c>
      <c r="E19" s="40">
        <f>9.59*10^-6</f>
        <v>9.5899999999999997E-6</v>
      </c>
      <c r="F19" s="30"/>
      <c r="G19" s="30"/>
      <c r="H19" s="30"/>
      <c r="I19" s="30"/>
    </row>
    <row r="20" spans="1:9" ht="17.649999999999999" x14ac:dyDescent="0.5">
      <c r="A20" s="32" t="s">
        <v>252</v>
      </c>
      <c r="B20" s="32" t="s">
        <v>254</v>
      </c>
      <c r="C20" s="32" t="s">
        <v>256</v>
      </c>
      <c r="D20" s="32" t="s">
        <v>257</v>
      </c>
      <c r="E20" s="32">
        <f>10.06*10^-6</f>
        <v>1.006E-5</v>
      </c>
      <c r="F20" s="30"/>
      <c r="G20" s="30"/>
      <c r="H20" s="30"/>
      <c r="I20" s="30"/>
    </row>
    <row r="21" spans="1:9" ht="17.649999999999999" x14ac:dyDescent="0.5">
      <c r="A21" s="32" t="s">
        <v>252</v>
      </c>
      <c r="B21" s="25" t="s">
        <v>255</v>
      </c>
      <c r="C21" s="32" t="s">
        <v>256</v>
      </c>
      <c r="D21" s="32" t="s">
        <v>257</v>
      </c>
      <c r="E21" s="32">
        <f>10.79*10^-6</f>
        <v>1.0789999999999998E-5</v>
      </c>
      <c r="F21" s="30"/>
      <c r="G21" s="30"/>
      <c r="H21" s="30"/>
      <c r="I21" s="30"/>
    </row>
    <row r="22" spans="1:9" ht="17.649999999999999" x14ac:dyDescent="0.5">
      <c r="A22" s="32" t="s">
        <v>69</v>
      </c>
      <c r="B22" s="32" t="s">
        <v>237</v>
      </c>
      <c r="C22" s="33" t="s">
        <v>263</v>
      </c>
      <c r="D22" s="24" t="s">
        <v>235</v>
      </c>
      <c r="E22" s="32">
        <f>10.9*10^-6</f>
        <v>1.0900000000000001E-5</v>
      </c>
      <c r="F22" s="30"/>
      <c r="G22" s="30"/>
      <c r="H22" s="30"/>
      <c r="I22" s="30"/>
    </row>
    <row r="23" spans="1:9" ht="17.649999999999999" x14ac:dyDescent="0.5">
      <c r="A23" s="32" t="s">
        <v>258</v>
      </c>
      <c r="B23" s="32" t="s">
        <v>259</v>
      </c>
      <c r="C23" s="33" t="s">
        <v>263</v>
      </c>
      <c r="D23" s="24" t="s">
        <v>235</v>
      </c>
      <c r="E23" s="24">
        <f>11.19*10^-6</f>
        <v>1.119E-5</v>
      </c>
      <c r="F23" s="30"/>
      <c r="G23" s="30"/>
      <c r="H23" s="30"/>
      <c r="I23" s="30"/>
    </row>
    <row r="24" spans="1:9" ht="17.649999999999999" x14ac:dyDescent="0.5">
      <c r="A24" s="32" t="s">
        <v>258</v>
      </c>
      <c r="B24" s="32" t="s">
        <v>260</v>
      </c>
      <c r="C24" s="33" t="s">
        <v>263</v>
      </c>
      <c r="D24" s="24" t="s">
        <v>235</v>
      </c>
      <c r="E24" s="24">
        <f>11.08*10^-6</f>
        <v>1.1079999999999999E-5</v>
      </c>
      <c r="F24" s="30"/>
      <c r="G24" s="30"/>
      <c r="H24" s="30"/>
      <c r="I24" s="30"/>
    </row>
    <row r="25" spans="1:9" ht="17.649999999999999" x14ac:dyDescent="0.5">
      <c r="A25" s="32" t="s">
        <v>258</v>
      </c>
      <c r="B25" s="32" t="s">
        <v>261</v>
      </c>
      <c r="C25" s="33" t="s">
        <v>263</v>
      </c>
      <c r="D25" s="24" t="s">
        <v>235</v>
      </c>
      <c r="E25" s="24">
        <f>10.84*10^-6</f>
        <v>1.084E-5</v>
      </c>
      <c r="F25" s="30"/>
      <c r="G25" s="30"/>
      <c r="H25" s="30"/>
      <c r="I25" s="30"/>
    </row>
    <row r="26" spans="1:9" ht="17.649999999999999" x14ac:dyDescent="0.5">
      <c r="A26" s="32" t="s">
        <v>258</v>
      </c>
      <c r="B26" s="32" t="s">
        <v>262</v>
      </c>
      <c r="C26" s="33" t="s">
        <v>263</v>
      </c>
      <c r="D26" s="24" t="s">
        <v>235</v>
      </c>
      <c r="E26" s="24">
        <f>11.38*10^-6</f>
        <v>1.1379999999999999E-5</v>
      </c>
      <c r="F26" s="30"/>
      <c r="G26" s="30"/>
      <c r="H26" s="30"/>
      <c r="I26" s="30"/>
    </row>
    <row r="27" spans="1:9" ht="17.649999999999999" x14ac:dyDescent="0.5">
      <c r="A27" s="32" t="s">
        <v>71</v>
      </c>
      <c r="B27" s="32" t="s">
        <v>264</v>
      </c>
      <c r="C27" s="32" t="s">
        <v>266</v>
      </c>
      <c r="D27" s="24" t="s">
        <v>265</v>
      </c>
      <c r="E27" s="32">
        <f>10.3*10^-6</f>
        <v>1.03E-5</v>
      </c>
      <c r="F27" s="30"/>
      <c r="G27" s="30"/>
      <c r="H27" s="30"/>
      <c r="I27" s="30"/>
    </row>
    <row r="28" spans="1:9" ht="17.649999999999999" x14ac:dyDescent="0.5">
      <c r="A28" s="32" t="s">
        <v>72</v>
      </c>
      <c r="B28" s="25" t="s">
        <v>269</v>
      </c>
      <c r="C28" s="32" t="s">
        <v>268</v>
      </c>
      <c r="D28" s="24" t="s">
        <v>270</v>
      </c>
      <c r="E28" s="32">
        <f>11.58*10^-6</f>
        <v>1.1579999999999999E-5</v>
      </c>
      <c r="F28" s="30"/>
      <c r="G28" s="30"/>
      <c r="H28" s="30"/>
      <c r="I28" s="30"/>
    </row>
    <row r="29" spans="1:9" ht="17.649999999999999" x14ac:dyDescent="0.5">
      <c r="A29" s="32" t="s">
        <v>74</v>
      </c>
      <c r="B29" s="25" t="s">
        <v>473</v>
      </c>
      <c r="C29" s="24" t="s">
        <v>271</v>
      </c>
      <c r="D29" s="24" t="s">
        <v>272</v>
      </c>
      <c r="E29" s="24">
        <f>9.02*10^-6</f>
        <v>9.0199999999999983E-6</v>
      </c>
      <c r="F29" s="30"/>
      <c r="G29" s="30"/>
      <c r="H29" s="30"/>
      <c r="I29" s="30"/>
    </row>
    <row r="30" spans="1:9" ht="17.649999999999999" x14ac:dyDescent="0.5">
      <c r="A30" s="32" t="s">
        <v>75</v>
      </c>
      <c r="B30" s="25" t="s">
        <v>474</v>
      </c>
      <c r="C30" s="24" t="s">
        <v>273</v>
      </c>
      <c r="D30" s="24" t="s">
        <v>274</v>
      </c>
      <c r="E30" s="24">
        <f>11.52*10^-6</f>
        <v>1.152E-5</v>
      </c>
      <c r="F30" s="30"/>
    </row>
    <row r="31" spans="1:9" ht="17.649999999999999" x14ac:dyDescent="0.5">
      <c r="A31" s="32" t="s">
        <v>275</v>
      </c>
      <c r="B31" s="25" t="s">
        <v>475</v>
      </c>
      <c r="C31" s="24" t="s">
        <v>273</v>
      </c>
      <c r="D31" s="24" t="s">
        <v>274</v>
      </c>
      <c r="E31" s="25">
        <f>11.1*10^-6</f>
        <v>1.1099999999999999E-5</v>
      </c>
      <c r="G31" s="30"/>
      <c r="H31" s="30"/>
      <c r="I31" s="30"/>
    </row>
    <row r="32" spans="1:9" ht="17.649999999999999" x14ac:dyDescent="0.5">
      <c r="A32" s="32" t="s">
        <v>76</v>
      </c>
      <c r="B32" s="24" t="s">
        <v>278</v>
      </c>
      <c r="C32" s="24" t="s">
        <v>276</v>
      </c>
      <c r="D32" s="24" t="s">
        <v>277</v>
      </c>
      <c r="E32" s="24">
        <f>5.9*10^-6</f>
        <v>5.9000000000000003E-6</v>
      </c>
      <c r="F32" s="30"/>
      <c r="G32" s="30"/>
      <c r="H32" s="30"/>
      <c r="I32" s="30"/>
    </row>
    <row r="33" spans="1:9" ht="17.649999999999999" x14ac:dyDescent="0.5">
      <c r="A33" s="32" t="s">
        <v>77</v>
      </c>
      <c r="B33" s="25" t="s">
        <v>433</v>
      </c>
      <c r="C33" s="24" t="s">
        <v>279</v>
      </c>
      <c r="D33" s="24" t="s">
        <v>249</v>
      </c>
      <c r="E33" s="24">
        <f>6.8*10^-6</f>
        <v>6.7999999999999993E-6</v>
      </c>
      <c r="F33" s="30"/>
      <c r="G33" s="30"/>
      <c r="H33" s="30"/>
      <c r="I33" s="30"/>
    </row>
    <row r="34" spans="1:9" ht="17.649999999999999" x14ac:dyDescent="0.5">
      <c r="A34" s="32" t="s">
        <v>280</v>
      </c>
      <c r="B34" s="25" t="s">
        <v>476</v>
      </c>
      <c r="C34" s="24" t="s">
        <v>279</v>
      </c>
      <c r="D34" s="24" t="s">
        <v>249</v>
      </c>
      <c r="E34" s="24">
        <f>6.8*10^-6</f>
        <v>6.7999999999999993E-6</v>
      </c>
      <c r="F34" s="30"/>
      <c r="G34" s="30"/>
      <c r="H34" s="30"/>
      <c r="I34" s="30"/>
    </row>
    <row r="35" spans="1:9" ht="17.649999999999999" x14ac:dyDescent="0.5">
      <c r="A35" s="32" t="s">
        <v>280</v>
      </c>
      <c r="B35" s="25" t="s">
        <v>477</v>
      </c>
      <c r="C35" s="24" t="s">
        <v>279</v>
      </c>
      <c r="D35" s="24" t="s">
        <v>249</v>
      </c>
      <c r="E35" s="24">
        <f>6.5*10^-6</f>
        <v>6.4999999999999996E-6</v>
      </c>
      <c r="F35" s="30"/>
      <c r="G35" s="30"/>
      <c r="H35" s="30"/>
      <c r="I35" s="30"/>
    </row>
    <row r="36" spans="1:9" ht="17.649999999999999" x14ac:dyDescent="0.5">
      <c r="A36" s="32" t="s">
        <v>280</v>
      </c>
      <c r="B36" s="25" t="s">
        <v>478</v>
      </c>
      <c r="C36" s="24" t="s">
        <v>279</v>
      </c>
      <c r="D36" s="24" t="s">
        <v>249</v>
      </c>
      <c r="E36" s="24">
        <f>6.5*10^-6</f>
        <v>6.4999999999999996E-6</v>
      </c>
      <c r="F36" s="30"/>
      <c r="G36" s="30"/>
      <c r="H36" s="30"/>
      <c r="I36" s="30"/>
    </row>
    <row r="37" spans="1:9" ht="17.649999999999999" x14ac:dyDescent="0.5">
      <c r="A37" s="32" t="s">
        <v>280</v>
      </c>
      <c r="B37" s="24" t="s">
        <v>479</v>
      </c>
      <c r="C37" s="24" t="s">
        <v>279</v>
      </c>
      <c r="D37" s="24" t="s">
        <v>249</v>
      </c>
      <c r="E37" s="24">
        <f>6.5*10^-6</f>
        <v>6.4999999999999996E-6</v>
      </c>
      <c r="F37" s="30"/>
      <c r="G37" s="30"/>
      <c r="H37" s="30"/>
      <c r="I37" s="30"/>
    </row>
    <row r="38" spans="1:9" ht="17.649999999999999" x14ac:dyDescent="0.5">
      <c r="A38" s="32" t="s">
        <v>280</v>
      </c>
      <c r="B38" s="24" t="s">
        <v>480</v>
      </c>
      <c r="C38" s="24" t="s">
        <v>279</v>
      </c>
      <c r="D38" s="24" t="s">
        <v>249</v>
      </c>
      <c r="E38" s="24">
        <f>6.9*10^-6</f>
        <v>6.9E-6</v>
      </c>
      <c r="F38" s="30"/>
      <c r="G38" s="30"/>
      <c r="H38" s="30"/>
      <c r="I38" s="30"/>
    </row>
    <row r="39" spans="1:9" ht="17.649999999999999" x14ac:dyDescent="0.5">
      <c r="A39" s="32" t="s">
        <v>280</v>
      </c>
      <c r="B39" s="24" t="s">
        <v>481</v>
      </c>
      <c r="C39" s="24" t="s">
        <v>279</v>
      </c>
      <c r="D39" s="24" t="s">
        <v>249</v>
      </c>
      <c r="E39" s="24">
        <f>6.7*10^-6</f>
        <v>6.7000000000000002E-6</v>
      </c>
      <c r="F39" s="30"/>
      <c r="G39" s="30"/>
      <c r="H39" s="30"/>
      <c r="I39" s="30"/>
    </row>
    <row r="40" spans="1:9" ht="17.649999999999999" x14ac:dyDescent="0.5">
      <c r="A40" s="32" t="s">
        <v>280</v>
      </c>
      <c r="B40" s="25" t="s">
        <v>482</v>
      </c>
      <c r="C40" s="24" t="s">
        <v>279</v>
      </c>
      <c r="D40" s="24" t="s">
        <v>249</v>
      </c>
      <c r="E40" s="24">
        <f>6.6*10^-6</f>
        <v>6.5999999999999995E-6</v>
      </c>
      <c r="F40" s="30"/>
      <c r="G40" s="30"/>
      <c r="H40" s="30"/>
      <c r="I40" s="30"/>
    </row>
    <row r="41" spans="1:9" ht="17.649999999999999" x14ac:dyDescent="0.5">
      <c r="A41" s="32" t="s">
        <v>280</v>
      </c>
      <c r="B41" s="25" t="s">
        <v>483</v>
      </c>
      <c r="C41" s="24" t="s">
        <v>279</v>
      </c>
      <c r="D41" s="24" t="s">
        <v>249</v>
      </c>
      <c r="E41" s="24">
        <f>7*10^-6</f>
        <v>6.9999999999999999E-6</v>
      </c>
      <c r="F41" s="30"/>
      <c r="G41" s="30"/>
      <c r="H41" s="30"/>
      <c r="I41" s="30"/>
    </row>
    <row r="42" spans="1:9" ht="17.649999999999999" x14ac:dyDescent="0.5">
      <c r="A42" s="32" t="s">
        <v>280</v>
      </c>
      <c r="B42" s="24" t="s">
        <v>484</v>
      </c>
      <c r="C42" s="24" t="s">
        <v>279</v>
      </c>
      <c r="D42" s="24" t="s">
        <v>249</v>
      </c>
      <c r="E42" s="24">
        <f>6.9*10^-6</f>
        <v>6.9E-6</v>
      </c>
      <c r="F42" s="30"/>
      <c r="G42" s="30"/>
      <c r="H42" s="30"/>
      <c r="I42" s="30"/>
    </row>
    <row r="43" spans="1:9" ht="17.649999999999999" x14ac:dyDescent="0.5">
      <c r="A43" s="32" t="s">
        <v>79</v>
      </c>
      <c r="B43" s="25" t="s">
        <v>485</v>
      </c>
      <c r="C43" s="24" t="s">
        <v>267</v>
      </c>
      <c r="D43" s="24" t="s">
        <v>281</v>
      </c>
      <c r="E43" s="24">
        <f>11.5*10^-6</f>
        <v>1.15E-5</v>
      </c>
      <c r="F43" s="30"/>
      <c r="G43" s="30"/>
      <c r="H43" s="30"/>
      <c r="I43" s="30"/>
    </row>
    <row r="44" spans="1:9" ht="17.649999999999999" x14ac:dyDescent="0.5">
      <c r="A44" s="32" t="s">
        <v>283</v>
      </c>
      <c r="B44" s="24" t="s">
        <v>486</v>
      </c>
      <c r="C44" s="24" t="s">
        <v>267</v>
      </c>
      <c r="D44" s="24" t="s">
        <v>282</v>
      </c>
      <c r="E44" s="24">
        <f>10.5*10^-6</f>
        <v>1.0499999999999999E-5</v>
      </c>
      <c r="F44" s="30"/>
      <c r="G44" s="30"/>
      <c r="H44" s="30"/>
      <c r="I44" s="30"/>
    </row>
    <row r="45" spans="1:9" ht="17.649999999999999" x14ac:dyDescent="0.5">
      <c r="A45" s="32" t="s">
        <v>80</v>
      </c>
      <c r="B45" s="32" t="s">
        <v>300</v>
      </c>
      <c r="C45" s="24" t="s">
        <v>239</v>
      </c>
      <c r="D45" s="24" t="s">
        <v>285</v>
      </c>
      <c r="E45" s="24">
        <f>11*10^-6</f>
        <v>1.1E-5</v>
      </c>
      <c r="F45" s="30"/>
      <c r="G45" s="30"/>
      <c r="H45" s="30"/>
      <c r="I45" s="30"/>
    </row>
    <row r="46" spans="1:9" ht="17.649999999999999" x14ac:dyDescent="0.5">
      <c r="A46" s="32" t="s">
        <v>284</v>
      </c>
      <c r="B46" s="25" t="s">
        <v>487</v>
      </c>
      <c r="C46" s="24" t="s">
        <v>239</v>
      </c>
      <c r="D46" s="24" t="s">
        <v>286</v>
      </c>
      <c r="E46" s="24">
        <f>10*10^-6</f>
        <v>9.9999999999999991E-6</v>
      </c>
      <c r="F46" s="30"/>
      <c r="G46" s="30"/>
      <c r="H46" s="30"/>
      <c r="I46" s="30"/>
    </row>
    <row r="47" spans="1:9" ht="17.649999999999999" x14ac:dyDescent="0.5">
      <c r="A47" s="32" t="s">
        <v>81</v>
      </c>
      <c r="B47" s="25" t="s">
        <v>488</v>
      </c>
      <c r="C47" s="32" t="s">
        <v>287</v>
      </c>
      <c r="D47" s="24" t="s">
        <v>288</v>
      </c>
      <c r="E47" s="24">
        <f>7*10^-6</f>
        <v>6.9999999999999999E-6</v>
      </c>
      <c r="F47" s="30"/>
      <c r="G47" s="30"/>
      <c r="H47" s="30"/>
      <c r="I47" s="30"/>
    </row>
    <row r="48" spans="1:9" ht="17.649999999999999" x14ac:dyDescent="0.5">
      <c r="A48" s="32" t="s">
        <v>289</v>
      </c>
      <c r="B48" s="25" t="s">
        <v>489</v>
      </c>
      <c r="C48" s="32" t="s">
        <v>287</v>
      </c>
      <c r="D48" s="24" t="s">
        <v>290</v>
      </c>
      <c r="E48" s="24">
        <f>10*10^-6</f>
        <v>9.9999999999999991E-6</v>
      </c>
      <c r="F48" s="30"/>
      <c r="G48" s="30"/>
      <c r="H48" s="30"/>
      <c r="I48" s="30"/>
    </row>
    <row r="49" spans="1:9" ht="17.649999999999999" x14ac:dyDescent="0.5">
      <c r="A49" s="32" t="s">
        <v>82</v>
      </c>
      <c r="B49" s="32" t="s">
        <v>301</v>
      </c>
      <c r="C49" s="32" t="s">
        <v>239</v>
      </c>
      <c r="D49" s="24" t="s">
        <v>282</v>
      </c>
      <c r="E49" s="24">
        <f>7.93*10^-6</f>
        <v>7.9299999999999986E-6</v>
      </c>
      <c r="F49" s="30"/>
      <c r="G49" s="30"/>
      <c r="H49" s="30"/>
      <c r="I49" s="30"/>
    </row>
    <row r="50" spans="1:9" ht="17.649999999999999" x14ac:dyDescent="0.5">
      <c r="A50" s="32" t="s">
        <v>291</v>
      </c>
      <c r="B50" s="32" t="s">
        <v>302</v>
      </c>
      <c r="C50" s="24" t="s">
        <v>239</v>
      </c>
      <c r="D50" s="24" t="s">
        <v>282</v>
      </c>
      <c r="E50" s="24">
        <f>9.46*10^-6</f>
        <v>9.4600000000000009E-6</v>
      </c>
      <c r="F50" s="30"/>
      <c r="G50" s="30"/>
      <c r="H50" s="30"/>
      <c r="I50" s="29"/>
    </row>
    <row r="51" spans="1:9" ht="17.649999999999999" x14ac:dyDescent="0.5">
      <c r="A51" s="32" t="s">
        <v>225</v>
      </c>
      <c r="B51" s="25" t="s">
        <v>490</v>
      </c>
      <c r="C51" s="24" t="s">
        <v>233</v>
      </c>
      <c r="D51" s="24" t="s">
        <v>299</v>
      </c>
      <c r="E51" s="25">
        <f>9.04*10^-6</f>
        <v>9.0399999999999982E-6</v>
      </c>
      <c r="F51" s="30"/>
      <c r="G51" s="30"/>
      <c r="H51" s="30"/>
      <c r="I51" s="29"/>
    </row>
    <row r="52" spans="1:9" ht="17.649999999999999" x14ac:dyDescent="0.5">
      <c r="A52" s="32" t="s">
        <v>292</v>
      </c>
      <c r="B52" s="25" t="s">
        <v>491</v>
      </c>
      <c r="C52" s="24" t="s">
        <v>293</v>
      </c>
      <c r="D52" s="24" t="s">
        <v>299</v>
      </c>
      <c r="E52" s="24">
        <f>9.43*10^-6</f>
        <v>9.4299999999999995E-6</v>
      </c>
      <c r="F52" s="30"/>
      <c r="G52" s="30"/>
      <c r="H52" s="30"/>
      <c r="I52" s="29"/>
    </row>
    <row r="53" spans="1:9" ht="17.649999999999999" x14ac:dyDescent="0.5">
      <c r="A53" s="32" t="s">
        <v>292</v>
      </c>
      <c r="B53" s="25" t="s">
        <v>492</v>
      </c>
      <c r="C53" s="24" t="s">
        <v>294</v>
      </c>
      <c r="D53" s="24" t="s">
        <v>299</v>
      </c>
      <c r="E53" s="24">
        <f>11.04*10^-6</f>
        <v>1.1039999999999999E-5</v>
      </c>
      <c r="F53" s="30"/>
      <c r="G53" s="30"/>
      <c r="H53" s="30"/>
      <c r="I53" s="29"/>
    </row>
    <row r="54" spans="1:9" ht="17.649999999999999" x14ac:dyDescent="0.5">
      <c r="A54" s="32" t="s">
        <v>292</v>
      </c>
      <c r="B54" s="25" t="s">
        <v>493</v>
      </c>
      <c r="C54" s="24" t="s">
        <v>295</v>
      </c>
      <c r="D54" s="24" t="s">
        <v>299</v>
      </c>
      <c r="E54" s="24">
        <f>11.91*10^-6</f>
        <v>1.1909999999999999E-5</v>
      </c>
      <c r="F54" s="30"/>
      <c r="G54" s="30"/>
      <c r="H54" s="30"/>
      <c r="I54" s="29"/>
    </row>
    <row r="55" spans="1:9" ht="17.649999999999999" x14ac:dyDescent="0.5">
      <c r="A55" s="32" t="s">
        <v>292</v>
      </c>
      <c r="B55" s="25" t="s">
        <v>494</v>
      </c>
      <c r="C55" s="24" t="s">
        <v>296</v>
      </c>
      <c r="D55" s="24" t="s">
        <v>299</v>
      </c>
      <c r="E55" s="24">
        <f>12.68*10^-6</f>
        <v>1.2679999999999999E-5</v>
      </c>
      <c r="F55" s="30"/>
      <c r="G55" s="30"/>
      <c r="H55" s="30"/>
      <c r="I55" s="29"/>
    </row>
    <row r="56" spans="1:9" ht="17.649999999999999" x14ac:dyDescent="0.5">
      <c r="A56" s="32" t="s">
        <v>292</v>
      </c>
      <c r="B56" s="25" t="s">
        <v>495</v>
      </c>
      <c r="C56" s="24" t="s">
        <v>297</v>
      </c>
      <c r="D56" s="24" t="s">
        <v>299</v>
      </c>
      <c r="E56" s="24">
        <f>12.71*10^-6</f>
        <v>1.271E-5</v>
      </c>
      <c r="F56" s="30"/>
      <c r="G56" s="30"/>
      <c r="H56" s="30"/>
      <c r="I56" s="29"/>
    </row>
    <row r="57" spans="1:9" ht="17.649999999999999" x14ac:dyDescent="0.5">
      <c r="A57" s="32" t="s">
        <v>292</v>
      </c>
      <c r="B57" s="25" t="s">
        <v>496</v>
      </c>
      <c r="C57" s="24" t="s">
        <v>298</v>
      </c>
      <c r="D57" s="24" t="s">
        <v>299</v>
      </c>
      <c r="E57" s="24">
        <f>13.12*10^-6</f>
        <v>1.3119999999999998E-5</v>
      </c>
      <c r="F57" s="30"/>
      <c r="G57" s="30"/>
      <c r="H57" s="30"/>
      <c r="I57" s="30"/>
    </row>
    <row r="58" spans="1:9" ht="17.649999999999999" x14ac:dyDescent="0.5">
      <c r="A58" s="32" t="s">
        <v>226</v>
      </c>
      <c r="B58" s="25" t="s">
        <v>497</v>
      </c>
      <c r="C58" s="34" t="s">
        <v>305</v>
      </c>
      <c r="D58" s="24" t="s">
        <v>304</v>
      </c>
      <c r="E58" s="24">
        <f>8.5*10^-6</f>
        <v>8.4999999999999999E-6</v>
      </c>
      <c r="F58" s="30"/>
      <c r="G58" s="30"/>
      <c r="H58" s="30"/>
      <c r="I58" s="30"/>
    </row>
    <row r="59" spans="1:9" ht="17.649999999999999" x14ac:dyDescent="0.5">
      <c r="A59" s="32" t="s">
        <v>303</v>
      </c>
      <c r="B59" s="25" t="s">
        <v>498</v>
      </c>
      <c r="C59" s="34" t="s">
        <v>305</v>
      </c>
      <c r="D59" s="24" t="s">
        <v>304</v>
      </c>
      <c r="E59" s="24">
        <f>9*10^-6</f>
        <v>9.0000000000000002E-6</v>
      </c>
      <c r="F59" s="30"/>
      <c r="G59" s="30"/>
      <c r="H59" s="30"/>
      <c r="I59" s="30"/>
    </row>
    <row r="60" spans="1:9" ht="17.649999999999999" x14ac:dyDescent="0.5">
      <c r="A60" s="32" t="s">
        <v>303</v>
      </c>
      <c r="B60" s="25" t="s">
        <v>499</v>
      </c>
      <c r="C60" s="34" t="s">
        <v>305</v>
      </c>
      <c r="D60" s="24" t="s">
        <v>304</v>
      </c>
      <c r="E60" s="24">
        <f>10.5*10^-6</f>
        <v>1.0499999999999999E-5</v>
      </c>
      <c r="F60" s="30"/>
      <c r="G60" s="30"/>
      <c r="H60" s="30"/>
      <c r="I60" s="30"/>
    </row>
    <row r="61" spans="1:9" ht="17.649999999999999" x14ac:dyDescent="0.5">
      <c r="A61" s="32" t="s">
        <v>303</v>
      </c>
      <c r="B61" s="25" t="s">
        <v>500</v>
      </c>
      <c r="C61" s="34" t="s">
        <v>305</v>
      </c>
      <c r="D61" s="24" t="s">
        <v>304</v>
      </c>
      <c r="E61" s="24">
        <f>11.5*10^-6</f>
        <v>1.15E-5</v>
      </c>
      <c r="F61" s="30"/>
      <c r="G61" s="30"/>
      <c r="H61" s="30"/>
      <c r="I61" s="30"/>
    </row>
    <row r="62" spans="1:9" ht="17.649999999999999" x14ac:dyDescent="0.5">
      <c r="A62" s="32" t="s">
        <v>303</v>
      </c>
      <c r="B62" s="25" t="s">
        <v>501</v>
      </c>
      <c r="C62" s="34" t="s">
        <v>305</v>
      </c>
      <c r="D62" s="24" t="s">
        <v>304</v>
      </c>
      <c r="E62" s="24">
        <f>12.5*10^-6</f>
        <v>1.2499999999999999E-5</v>
      </c>
      <c r="F62" s="30"/>
      <c r="G62" s="30"/>
      <c r="H62" s="30"/>
      <c r="I62" s="30"/>
    </row>
    <row r="63" spans="1:9" ht="17.649999999999999" x14ac:dyDescent="0.5">
      <c r="A63" s="32" t="s">
        <v>303</v>
      </c>
      <c r="B63" s="25" t="s">
        <v>502</v>
      </c>
      <c r="C63" s="34" t="s">
        <v>305</v>
      </c>
      <c r="D63" s="24" t="s">
        <v>304</v>
      </c>
      <c r="E63" s="24">
        <f>16.5*10^-6</f>
        <v>1.6499999999999998E-5</v>
      </c>
      <c r="F63" s="30"/>
      <c r="G63" s="30"/>
      <c r="H63" s="30"/>
      <c r="I63" s="30"/>
    </row>
    <row r="64" spans="1:9" ht="17.649999999999999" x14ac:dyDescent="0.5">
      <c r="A64" s="32" t="s">
        <v>227</v>
      </c>
      <c r="B64" s="25" t="s">
        <v>306</v>
      </c>
      <c r="C64" s="24" t="s">
        <v>239</v>
      </c>
      <c r="D64" s="24" t="s">
        <v>307</v>
      </c>
      <c r="E64" s="24">
        <f>11.69*10^-6</f>
        <v>1.1689999999999998E-5</v>
      </c>
      <c r="F64" s="30"/>
      <c r="G64" s="30"/>
      <c r="H64" s="30"/>
      <c r="I64" s="30"/>
    </row>
    <row r="65" spans="1:9" ht="17.649999999999999" x14ac:dyDescent="0.5">
      <c r="A65" s="32" t="s">
        <v>91</v>
      </c>
      <c r="B65" s="25" t="s">
        <v>503</v>
      </c>
      <c r="C65" s="24" t="s">
        <v>308</v>
      </c>
      <c r="D65" s="24" t="s">
        <v>309</v>
      </c>
      <c r="E65" s="24">
        <f>10.5*10^-6</f>
        <v>1.0499999999999999E-5</v>
      </c>
      <c r="F65" s="30"/>
      <c r="G65" s="30"/>
      <c r="H65" s="30"/>
      <c r="I65" s="30"/>
    </row>
    <row r="66" spans="1:9" ht="17.649999999999999" x14ac:dyDescent="0.5">
      <c r="A66" s="32" t="s">
        <v>93</v>
      </c>
      <c r="B66" s="25" t="s">
        <v>504</v>
      </c>
      <c r="C66" s="25" t="s">
        <v>311</v>
      </c>
      <c r="D66" s="24" t="s">
        <v>312</v>
      </c>
      <c r="E66" s="24">
        <f>12.9*10^-6</f>
        <v>1.29E-5</v>
      </c>
      <c r="F66" s="30"/>
      <c r="G66" s="30"/>
      <c r="H66" s="30"/>
      <c r="I66" s="30"/>
    </row>
    <row r="67" spans="1:9" ht="17.649999999999999" x14ac:dyDescent="0.5">
      <c r="A67" s="32" t="s">
        <v>310</v>
      </c>
      <c r="B67" s="25" t="s">
        <v>505</v>
      </c>
      <c r="C67" s="25" t="s">
        <v>311</v>
      </c>
      <c r="D67" s="24" t="s">
        <v>312</v>
      </c>
      <c r="E67" s="24">
        <f>12.6*10^-6</f>
        <v>1.26E-5</v>
      </c>
      <c r="F67" s="30"/>
      <c r="G67" s="30"/>
      <c r="H67" s="30"/>
      <c r="I67" s="30"/>
    </row>
    <row r="68" spans="1:9" ht="17.649999999999999" x14ac:dyDescent="0.5">
      <c r="A68" s="32" t="s">
        <v>94</v>
      </c>
      <c r="B68" s="25" t="s">
        <v>236</v>
      </c>
      <c r="C68" s="25" t="s">
        <v>313</v>
      </c>
      <c r="D68" s="24" t="s">
        <v>314</v>
      </c>
      <c r="E68" s="24">
        <f>10.72*10^-6</f>
        <v>1.0720000000000001E-5</v>
      </c>
      <c r="F68" s="30"/>
      <c r="G68" s="30"/>
      <c r="H68" s="30"/>
      <c r="I68" s="30"/>
    </row>
    <row r="69" spans="1:9" ht="17.649999999999999" x14ac:dyDescent="0.5">
      <c r="A69" s="32" t="s">
        <v>96</v>
      </c>
      <c r="B69" s="24" t="s">
        <v>506</v>
      </c>
      <c r="C69" s="25" t="s">
        <v>316</v>
      </c>
      <c r="D69" s="24" t="s">
        <v>312</v>
      </c>
      <c r="E69" s="24">
        <f>11.41*10^-6</f>
        <v>1.1409999999999999E-5</v>
      </c>
      <c r="F69" s="30"/>
      <c r="G69" s="30"/>
      <c r="H69" s="30"/>
      <c r="I69" s="30"/>
    </row>
    <row r="70" spans="1:9" ht="17.649999999999999" x14ac:dyDescent="0.5">
      <c r="A70" s="32" t="s">
        <v>315</v>
      </c>
      <c r="B70" s="24" t="s">
        <v>507</v>
      </c>
      <c r="C70" s="25" t="s">
        <v>316</v>
      </c>
      <c r="D70" s="24" t="s">
        <v>312</v>
      </c>
      <c r="E70" s="24">
        <f>11.2*10^-6</f>
        <v>1.1199999999999999E-5</v>
      </c>
      <c r="F70" s="30"/>
      <c r="G70" s="30"/>
      <c r="H70" s="30"/>
      <c r="I70" s="30"/>
    </row>
    <row r="71" spans="1:9" ht="17.649999999999999" x14ac:dyDescent="0.5">
      <c r="A71" s="32" t="s">
        <v>315</v>
      </c>
      <c r="B71" s="25" t="s">
        <v>508</v>
      </c>
      <c r="C71" s="25" t="s">
        <v>316</v>
      </c>
      <c r="D71" s="24" t="s">
        <v>312</v>
      </c>
      <c r="E71" s="24">
        <f>11.69*10^-6</f>
        <v>1.1689999999999998E-5</v>
      </c>
      <c r="F71" s="30"/>
      <c r="G71" s="30"/>
      <c r="H71" s="30"/>
      <c r="I71" s="30"/>
    </row>
    <row r="72" spans="1:9" ht="17.649999999999999" x14ac:dyDescent="0.5">
      <c r="A72" s="32" t="s">
        <v>228</v>
      </c>
      <c r="B72" s="25" t="s">
        <v>509</v>
      </c>
      <c r="C72" s="25" t="s">
        <v>239</v>
      </c>
      <c r="D72" s="24" t="s">
        <v>312</v>
      </c>
      <c r="E72" s="24">
        <f>14.6*10^-6</f>
        <v>1.4599999999999999E-5</v>
      </c>
      <c r="F72" s="30"/>
      <c r="G72" s="30"/>
      <c r="H72" s="30"/>
      <c r="I72" s="30"/>
    </row>
    <row r="73" spans="1:9" ht="17.649999999999999" x14ac:dyDescent="0.5">
      <c r="A73" s="32" t="s">
        <v>317</v>
      </c>
      <c r="B73" s="25" t="s">
        <v>510</v>
      </c>
      <c r="C73" s="25" t="s">
        <v>239</v>
      </c>
      <c r="D73" s="24" t="s">
        <v>312</v>
      </c>
      <c r="E73" s="24">
        <f>15*10^-6</f>
        <v>1.4999999999999999E-5</v>
      </c>
      <c r="F73" s="30"/>
      <c r="G73" s="30"/>
      <c r="H73" s="30"/>
      <c r="I73" s="30"/>
    </row>
    <row r="74" spans="1:9" ht="17.649999999999999" x14ac:dyDescent="0.5">
      <c r="A74" s="32" t="s">
        <v>317</v>
      </c>
      <c r="B74" s="25" t="s">
        <v>511</v>
      </c>
      <c r="C74" s="25" t="s">
        <v>239</v>
      </c>
      <c r="D74" s="24" t="s">
        <v>312</v>
      </c>
      <c r="E74" s="24">
        <f>14.7*10^-6</f>
        <v>1.4699999999999998E-5</v>
      </c>
      <c r="F74" s="30"/>
      <c r="G74" s="30"/>
      <c r="H74" s="30"/>
      <c r="I74" s="30"/>
    </row>
    <row r="75" spans="1:9" ht="17.649999999999999" x14ac:dyDescent="0.5">
      <c r="A75" s="32" t="s">
        <v>317</v>
      </c>
      <c r="B75" s="25" t="s">
        <v>512</v>
      </c>
      <c r="C75" s="25" t="s">
        <v>239</v>
      </c>
      <c r="D75" s="24" t="s">
        <v>312</v>
      </c>
      <c r="E75" s="24">
        <f>15.2*10^-6</f>
        <v>1.5199999999999998E-5</v>
      </c>
      <c r="F75" s="30"/>
      <c r="G75" s="30"/>
      <c r="H75" s="30"/>
      <c r="I75" s="30"/>
    </row>
    <row r="76" spans="1:9" ht="17.649999999999999" x14ac:dyDescent="0.5">
      <c r="A76" s="32" t="s">
        <v>317</v>
      </c>
      <c r="B76" s="25" t="s">
        <v>513</v>
      </c>
      <c r="C76" s="24" t="s">
        <v>239</v>
      </c>
      <c r="D76" s="24" t="s">
        <v>312</v>
      </c>
      <c r="E76" s="24">
        <f>14.8*10^-6</f>
        <v>1.4800000000000001E-5</v>
      </c>
      <c r="F76" s="30"/>
      <c r="G76" s="30"/>
      <c r="H76" s="30"/>
      <c r="I76" s="30"/>
    </row>
    <row r="77" spans="1:9" ht="17.649999999999999" x14ac:dyDescent="0.5">
      <c r="A77" s="32" t="s">
        <v>98</v>
      </c>
      <c r="B77" s="24" t="s">
        <v>514</v>
      </c>
      <c r="C77" s="25" t="s">
        <v>319</v>
      </c>
      <c r="D77" s="24" t="s">
        <v>312</v>
      </c>
      <c r="E77" s="24">
        <f>9.78*10^-6</f>
        <v>9.7799999999999995E-6</v>
      </c>
      <c r="F77" s="30"/>
      <c r="G77" s="30"/>
      <c r="H77" s="30"/>
      <c r="I77" s="30"/>
    </row>
    <row r="78" spans="1:9" ht="17.649999999999999" x14ac:dyDescent="0.5">
      <c r="A78" s="32" t="s">
        <v>318</v>
      </c>
      <c r="B78" s="25" t="s">
        <v>515</v>
      </c>
      <c r="C78" s="25" t="s">
        <v>319</v>
      </c>
      <c r="D78" s="24" t="s">
        <v>312</v>
      </c>
      <c r="E78" s="24">
        <f>9.61*10^-6</f>
        <v>9.6099999999999995E-6</v>
      </c>
      <c r="F78" s="30"/>
      <c r="G78" s="30"/>
      <c r="H78" s="30"/>
      <c r="I78" s="30"/>
    </row>
    <row r="79" spans="1:9" ht="17.649999999999999" x14ac:dyDescent="0.5">
      <c r="A79" s="32" t="s">
        <v>99</v>
      </c>
      <c r="B79" s="25" t="s">
        <v>516</v>
      </c>
      <c r="C79" s="24" t="s">
        <v>267</v>
      </c>
      <c r="D79" s="24" t="s">
        <v>312</v>
      </c>
      <c r="E79" s="24">
        <f>11*10^-6</f>
        <v>1.1E-5</v>
      </c>
      <c r="F79" s="30"/>
      <c r="G79" s="30"/>
      <c r="H79" s="30"/>
      <c r="I79" s="30"/>
    </row>
    <row r="80" spans="1:9" ht="17.649999999999999" x14ac:dyDescent="0.5">
      <c r="A80" s="32" t="s">
        <v>100</v>
      </c>
      <c r="B80" s="25" t="s">
        <v>517</v>
      </c>
      <c r="C80" s="24" t="s">
        <v>239</v>
      </c>
      <c r="D80" s="24" t="s">
        <v>312</v>
      </c>
      <c r="E80" s="24">
        <f>10.5*10^-6</f>
        <v>1.0499999999999999E-5</v>
      </c>
      <c r="F80" s="30"/>
      <c r="G80" s="30"/>
      <c r="H80" s="30"/>
      <c r="I80" s="30"/>
    </row>
    <row r="81" spans="1:9" ht="17.649999999999999" x14ac:dyDescent="0.5">
      <c r="A81" s="32" t="s">
        <v>320</v>
      </c>
      <c r="B81" s="24" t="s">
        <v>518</v>
      </c>
      <c r="C81" s="24" t="s">
        <v>239</v>
      </c>
      <c r="D81" s="24" t="s">
        <v>321</v>
      </c>
      <c r="E81" s="24">
        <f>10.5*10^-6</f>
        <v>1.0499999999999999E-5</v>
      </c>
      <c r="F81" s="30"/>
      <c r="G81" s="30"/>
      <c r="H81" s="30"/>
      <c r="I81" s="30"/>
    </row>
    <row r="82" spans="1:9" ht="17.649999999999999" x14ac:dyDescent="0.5">
      <c r="A82" s="32" t="s">
        <v>101</v>
      </c>
      <c r="B82" s="25" t="s">
        <v>519</v>
      </c>
      <c r="C82" s="24" t="s">
        <v>239</v>
      </c>
      <c r="D82" s="24" t="s">
        <v>322</v>
      </c>
      <c r="E82" s="24">
        <f>10.56*10^-6</f>
        <v>1.0560000000000001E-5</v>
      </c>
      <c r="F82" s="30"/>
      <c r="G82" s="30"/>
      <c r="H82" s="30"/>
      <c r="I82" s="29"/>
    </row>
    <row r="83" spans="1:9" ht="17.649999999999999" x14ac:dyDescent="0.5">
      <c r="A83" s="32" t="s">
        <v>103</v>
      </c>
      <c r="B83" s="25" t="s">
        <v>520</v>
      </c>
      <c r="C83" s="24" t="s">
        <v>323</v>
      </c>
      <c r="D83" s="24" t="s">
        <v>324</v>
      </c>
      <c r="E83" s="25">
        <v>1.076E-5</v>
      </c>
      <c r="F83" s="30"/>
      <c r="G83" s="30"/>
      <c r="H83" s="30"/>
      <c r="I83" s="30"/>
    </row>
    <row r="84" spans="1:9" ht="17.649999999999999" x14ac:dyDescent="0.5">
      <c r="A84" s="32" t="s">
        <v>104</v>
      </c>
      <c r="B84" s="25" t="s">
        <v>521</v>
      </c>
      <c r="C84" s="24" t="s">
        <v>323</v>
      </c>
      <c r="D84" s="24" t="s">
        <v>324</v>
      </c>
      <c r="E84" s="25">
        <v>1.0360000000000001E-5</v>
      </c>
      <c r="F84" s="30"/>
      <c r="G84" s="30"/>
      <c r="H84" s="30"/>
      <c r="I84" s="30"/>
    </row>
    <row r="85" spans="1:9" ht="17.649999999999999" x14ac:dyDescent="0.5">
      <c r="A85" s="32" t="s">
        <v>325</v>
      </c>
      <c r="B85" s="25" t="s">
        <v>522</v>
      </c>
      <c r="C85" s="24" t="s">
        <v>323</v>
      </c>
      <c r="D85" s="24" t="s">
        <v>324</v>
      </c>
      <c r="E85" s="25">
        <v>1.0869999999999999E-5</v>
      </c>
      <c r="F85" s="30"/>
      <c r="G85" s="30"/>
      <c r="H85" s="30"/>
      <c r="I85" s="30"/>
    </row>
    <row r="86" spans="1:9" ht="17.649999999999999" x14ac:dyDescent="0.5">
      <c r="A86" s="32" t="s">
        <v>105</v>
      </c>
      <c r="B86" s="25" t="s">
        <v>523</v>
      </c>
      <c r="C86" s="24" t="s">
        <v>323</v>
      </c>
      <c r="D86" s="24" t="s">
        <v>324</v>
      </c>
      <c r="E86" s="25">
        <v>1.0349999999999999E-5</v>
      </c>
      <c r="F86" s="30"/>
      <c r="G86" s="30"/>
      <c r="H86" s="30"/>
      <c r="I86" s="30"/>
    </row>
    <row r="87" spans="1:9" ht="17.649999999999999" x14ac:dyDescent="0.5">
      <c r="A87" s="32" t="s">
        <v>138</v>
      </c>
      <c r="B87" s="24" t="s">
        <v>524</v>
      </c>
      <c r="C87" s="24" t="s">
        <v>323</v>
      </c>
      <c r="D87" s="24" t="s">
        <v>312</v>
      </c>
      <c r="E87" s="25">
        <v>1.063E-5</v>
      </c>
      <c r="F87" s="30"/>
      <c r="G87" s="30"/>
      <c r="H87" s="30"/>
      <c r="I87" s="30"/>
    </row>
    <row r="88" spans="1:9" ht="17.649999999999999" x14ac:dyDescent="0.5">
      <c r="A88" s="32" t="s">
        <v>138</v>
      </c>
      <c r="B88" s="25" t="s">
        <v>525</v>
      </c>
      <c r="C88" s="24" t="s">
        <v>323</v>
      </c>
      <c r="D88" s="24" t="s">
        <v>321</v>
      </c>
      <c r="E88" s="24">
        <v>1.028E-5</v>
      </c>
      <c r="F88" s="30"/>
      <c r="G88" s="30"/>
      <c r="H88" s="30"/>
      <c r="I88" s="30"/>
    </row>
    <row r="89" spans="1:9" ht="17.649999999999999" x14ac:dyDescent="0.5">
      <c r="A89" s="32" t="s">
        <v>140</v>
      </c>
      <c r="B89" s="25" t="s">
        <v>526</v>
      </c>
      <c r="C89" s="24" t="s">
        <v>323</v>
      </c>
      <c r="D89" s="24" t="s">
        <v>326</v>
      </c>
      <c r="E89" s="25">
        <v>1.031E-5</v>
      </c>
      <c r="F89" s="30"/>
      <c r="G89" s="30"/>
      <c r="H89" s="30"/>
      <c r="I89" s="30"/>
    </row>
    <row r="90" spans="1:9" ht="17.649999999999999" x14ac:dyDescent="0.5">
      <c r="A90" s="32" t="s">
        <v>150</v>
      </c>
      <c r="B90" s="25" t="s">
        <v>527</v>
      </c>
      <c r="C90" s="24" t="s">
        <v>323</v>
      </c>
      <c r="D90" s="24" t="s">
        <v>327</v>
      </c>
      <c r="E90" s="25">
        <v>1.1070000000000001E-5</v>
      </c>
      <c r="F90" s="30"/>
      <c r="G90" s="30"/>
      <c r="H90" s="30"/>
      <c r="I90" s="30"/>
    </row>
    <row r="91" spans="1:9" ht="17.649999999999999" x14ac:dyDescent="0.5">
      <c r="A91" s="32" t="s">
        <v>154</v>
      </c>
      <c r="B91" s="25" t="s">
        <v>519</v>
      </c>
      <c r="C91" s="24" t="s">
        <v>239</v>
      </c>
      <c r="D91" s="24" t="s">
        <v>322</v>
      </c>
      <c r="E91" s="25">
        <v>1.0560000000000001E-5</v>
      </c>
      <c r="F91" s="30"/>
      <c r="G91" s="30"/>
      <c r="H91" s="30"/>
      <c r="I91" s="30"/>
    </row>
    <row r="92" spans="1:9" ht="17.649999999999999" x14ac:dyDescent="0.5">
      <c r="A92" s="32" t="s">
        <v>156</v>
      </c>
      <c r="B92" s="25" t="s">
        <v>528</v>
      </c>
      <c r="C92" s="24" t="s">
        <v>323</v>
      </c>
      <c r="D92" s="24" t="s">
        <v>328</v>
      </c>
      <c r="E92" s="24">
        <f>0.9*10^-6</f>
        <v>8.9999999999999996E-7</v>
      </c>
      <c r="F92" s="30"/>
      <c r="G92" s="30"/>
      <c r="H92" s="30"/>
      <c r="I92" s="30"/>
    </row>
    <row r="93" spans="1:9" ht="17.649999999999999" x14ac:dyDescent="0.5">
      <c r="A93" s="32" t="s">
        <v>156</v>
      </c>
      <c r="B93" s="24" t="s">
        <v>529</v>
      </c>
      <c r="C93" s="24" t="s">
        <v>323</v>
      </c>
      <c r="D93" s="24" t="s">
        <v>328</v>
      </c>
      <c r="E93" s="24">
        <f>-6.2*10^-6</f>
        <v>-6.1999999999999999E-6</v>
      </c>
      <c r="F93" s="30"/>
      <c r="G93" s="30"/>
      <c r="H93" s="30"/>
      <c r="I93" s="30"/>
    </row>
    <row r="94" spans="1:9" ht="17.649999999999999" x14ac:dyDescent="0.5">
      <c r="A94" s="32" t="s">
        <v>156</v>
      </c>
      <c r="B94" s="25" t="s">
        <v>530</v>
      </c>
      <c r="C94" s="24" t="s">
        <v>323</v>
      </c>
      <c r="D94" s="24" t="s">
        <v>329</v>
      </c>
      <c r="E94" s="24">
        <f>1.4*10^-6</f>
        <v>1.3999999999999999E-6</v>
      </c>
      <c r="F94" s="30"/>
      <c r="G94" s="30"/>
      <c r="H94" s="30"/>
      <c r="I94" s="30"/>
    </row>
    <row r="95" spans="1:9" ht="17.649999999999999" x14ac:dyDescent="0.5">
      <c r="A95" s="32" t="s">
        <v>156</v>
      </c>
      <c r="B95" s="25" t="s">
        <v>531</v>
      </c>
      <c r="C95" s="24" t="s">
        <v>323</v>
      </c>
      <c r="D95" s="24" t="s">
        <v>314</v>
      </c>
      <c r="E95" s="24">
        <f>0.3*10^-6</f>
        <v>2.9999999999999999E-7</v>
      </c>
      <c r="F95" s="30"/>
      <c r="G95" s="30"/>
      <c r="H95" s="30"/>
      <c r="I95" s="30"/>
    </row>
    <row r="96" spans="1:9" ht="17.649999999999999" x14ac:dyDescent="0.5">
      <c r="A96" s="32" t="s">
        <v>156</v>
      </c>
      <c r="B96" s="25" t="s">
        <v>532</v>
      </c>
      <c r="C96" s="24" t="s">
        <v>323</v>
      </c>
      <c r="D96" s="24" t="s">
        <v>330</v>
      </c>
      <c r="E96" s="24">
        <f>2*10^-6</f>
        <v>1.9999999999999999E-6</v>
      </c>
      <c r="F96" s="30"/>
      <c r="G96" s="30"/>
      <c r="H96" s="30"/>
      <c r="I96" s="30"/>
    </row>
    <row r="97" spans="1:9" ht="17.649999999999999" x14ac:dyDescent="0.5">
      <c r="A97" s="32" t="s">
        <v>156</v>
      </c>
      <c r="B97" s="25" t="s">
        <v>533</v>
      </c>
      <c r="C97" s="24" t="s">
        <v>323</v>
      </c>
      <c r="D97" s="24" t="s">
        <v>330</v>
      </c>
      <c r="E97" s="24">
        <f>-0.4*10^-6</f>
        <v>-3.9999999999999998E-7</v>
      </c>
      <c r="F97" s="30"/>
      <c r="G97" s="30"/>
      <c r="H97" s="30"/>
      <c r="I97" s="30"/>
    </row>
    <row r="98" spans="1:9" ht="17.649999999999999" x14ac:dyDescent="0.5">
      <c r="A98" s="32" t="s">
        <v>156</v>
      </c>
      <c r="B98" s="24" t="s">
        <v>534</v>
      </c>
      <c r="C98" s="24" t="s">
        <v>323</v>
      </c>
      <c r="D98" s="24" t="s">
        <v>330</v>
      </c>
      <c r="E98" s="24">
        <f>-0.16*10^-6</f>
        <v>-1.6E-7</v>
      </c>
      <c r="F98" s="30"/>
      <c r="G98" s="30"/>
      <c r="H98" s="30"/>
      <c r="I98" s="30"/>
    </row>
    <row r="99" spans="1:9" ht="17.649999999999999" x14ac:dyDescent="0.5">
      <c r="A99" s="32" t="s">
        <v>156</v>
      </c>
      <c r="B99" s="24" t="s">
        <v>535</v>
      </c>
      <c r="C99" s="24" t="s">
        <v>323</v>
      </c>
      <c r="D99" s="24" t="s">
        <v>330</v>
      </c>
      <c r="E99" s="24">
        <f>0.51*10^-6</f>
        <v>5.0999999999999999E-7</v>
      </c>
      <c r="F99" s="30"/>
      <c r="G99" s="30"/>
      <c r="H99" s="30"/>
      <c r="I99" s="30"/>
    </row>
    <row r="100" spans="1:9" ht="17.649999999999999" x14ac:dyDescent="0.5">
      <c r="A100" s="32" t="s">
        <v>156</v>
      </c>
      <c r="B100" s="24" t="s">
        <v>536</v>
      </c>
      <c r="C100" s="24" t="s">
        <v>323</v>
      </c>
      <c r="D100" s="24" t="s">
        <v>330</v>
      </c>
      <c r="E100" s="24">
        <f>0.435*10^-6</f>
        <v>4.3499999999999996E-7</v>
      </c>
      <c r="F100" s="30"/>
      <c r="G100" s="30"/>
      <c r="H100" s="30"/>
      <c r="I100" s="30"/>
    </row>
    <row r="101" spans="1:9" ht="17.649999999999999" x14ac:dyDescent="0.5">
      <c r="A101" s="32" t="s">
        <v>156</v>
      </c>
      <c r="B101" s="24" t="s">
        <v>537</v>
      </c>
      <c r="C101" s="24" t="s">
        <v>323</v>
      </c>
      <c r="D101" s="24" t="s">
        <v>330</v>
      </c>
      <c r="E101" s="24">
        <f>-0.55*10^-6</f>
        <v>-5.5000000000000003E-7</v>
      </c>
      <c r="F101" s="30"/>
      <c r="G101" s="30"/>
      <c r="H101" s="30"/>
      <c r="I101" s="30"/>
    </row>
    <row r="102" spans="1:9" ht="17.649999999999999" x14ac:dyDescent="0.5">
      <c r="A102" s="32" t="s">
        <v>156</v>
      </c>
      <c r="B102" s="24" t="s">
        <v>538</v>
      </c>
      <c r="C102" s="24" t="s">
        <v>323</v>
      </c>
      <c r="D102" s="24" t="s">
        <v>330</v>
      </c>
      <c r="E102" s="24">
        <f>0.53*10^-6</f>
        <v>5.3000000000000001E-7</v>
      </c>
      <c r="F102" s="30"/>
      <c r="G102" s="30"/>
      <c r="H102" s="30"/>
      <c r="I102" s="30"/>
    </row>
    <row r="103" spans="1:9" ht="17.649999999999999" x14ac:dyDescent="0.5">
      <c r="A103" s="32" t="s">
        <v>156</v>
      </c>
      <c r="B103" s="24" t="s">
        <v>539</v>
      </c>
      <c r="C103" s="24" t="s">
        <v>323</v>
      </c>
      <c r="D103" s="24" t="s">
        <v>330</v>
      </c>
      <c r="E103" s="24">
        <f>0.32*10^-6</f>
        <v>3.2000000000000001E-7</v>
      </c>
      <c r="F103" s="30"/>
      <c r="G103" s="30"/>
      <c r="H103" s="30"/>
      <c r="I103" s="30"/>
    </row>
    <row r="104" spans="1:9" ht="17.649999999999999" x14ac:dyDescent="0.5">
      <c r="A104" s="32" t="s">
        <v>156</v>
      </c>
      <c r="B104" s="24" t="s">
        <v>540</v>
      </c>
      <c r="C104" s="24" t="s">
        <v>323</v>
      </c>
      <c r="D104" s="24" t="s">
        <v>330</v>
      </c>
      <c r="E104" s="24">
        <f>0.34*10^-6</f>
        <v>3.4000000000000003E-7</v>
      </c>
      <c r="F104" s="30"/>
      <c r="G104" s="30"/>
      <c r="H104" s="30"/>
      <c r="I104" s="30"/>
    </row>
    <row r="105" spans="1:9" ht="17.649999999999999" x14ac:dyDescent="0.5">
      <c r="A105" s="32" t="s">
        <v>156</v>
      </c>
      <c r="B105" s="25" t="s">
        <v>541</v>
      </c>
      <c r="C105" s="24" t="s">
        <v>323</v>
      </c>
      <c r="D105" s="24" t="s">
        <v>330</v>
      </c>
      <c r="E105" s="24">
        <f>0.63*10^-6</f>
        <v>6.3E-7</v>
      </c>
      <c r="F105" s="30"/>
      <c r="G105" s="30"/>
      <c r="H105" s="30"/>
      <c r="I105" s="30"/>
    </row>
    <row r="106" spans="1:9" ht="17.649999999999999" x14ac:dyDescent="0.5">
      <c r="A106" s="32" t="s">
        <v>156</v>
      </c>
      <c r="B106" s="25" t="s">
        <v>542</v>
      </c>
      <c r="C106" s="24" t="s">
        <v>323</v>
      </c>
      <c r="D106" s="24" t="s">
        <v>330</v>
      </c>
      <c r="E106" s="24">
        <f>0.4*10^-6</f>
        <v>3.9999999999999998E-7</v>
      </c>
      <c r="F106" s="30"/>
      <c r="G106" s="30"/>
      <c r="H106" s="30"/>
      <c r="I106" s="30"/>
    </row>
    <row r="107" spans="1:9" ht="17.649999999999999" x14ac:dyDescent="0.5">
      <c r="A107" s="32" t="s">
        <v>156</v>
      </c>
      <c r="B107" s="25" t="s">
        <v>543</v>
      </c>
      <c r="C107" s="24" t="s">
        <v>323</v>
      </c>
      <c r="D107" s="24" t="s">
        <v>330</v>
      </c>
      <c r="E107" s="24">
        <f>0.05*10^-6</f>
        <v>4.9999999999999998E-8</v>
      </c>
      <c r="F107" s="30"/>
      <c r="G107" s="30"/>
      <c r="H107" s="30"/>
      <c r="I107" s="30"/>
    </row>
    <row r="108" spans="1:9" ht="17.649999999999999" x14ac:dyDescent="0.5">
      <c r="A108" s="32" t="s">
        <v>156</v>
      </c>
      <c r="B108" s="24" t="s">
        <v>544</v>
      </c>
      <c r="C108" s="24" t="s">
        <v>323</v>
      </c>
      <c r="D108" s="24" t="s">
        <v>330</v>
      </c>
      <c r="E108" s="24">
        <f>0.06*10^-6</f>
        <v>5.9999999999999995E-8</v>
      </c>
      <c r="F108" s="30"/>
      <c r="G108" s="30"/>
      <c r="H108" s="30"/>
      <c r="I108" s="30"/>
    </row>
    <row r="109" spans="1:9" ht="17.649999999999999" x14ac:dyDescent="0.5">
      <c r="A109" s="32" t="s">
        <v>156</v>
      </c>
      <c r="B109" s="24" t="s">
        <v>545</v>
      </c>
      <c r="C109" s="24" t="s">
        <v>323</v>
      </c>
      <c r="D109" s="24" t="s">
        <v>330</v>
      </c>
      <c r="E109" s="24">
        <f>0.14*10^-6</f>
        <v>1.4000000000000001E-7</v>
      </c>
      <c r="F109" s="30"/>
      <c r="G109" s="30"/>
      <c r="H109" s="30"/>
      <c r="I109" s="30"/>
    </row>
    <row r="110" spans="1:9" ht="17.649999999999999" x14ac:dyDescent="0.5">
      <c r="A110" s="32" t="s">
        <v>156</v>
      </c>
      <c r="B110" s="25" t="s">
        <v>546</v>
      </c>
      <c r="C110" s="24" t="s">
        <v>323</v>
      </c>
      <c r="D110" s="24" t="s">
        <v>330</v>
      </c>
      <c r="E110" s="24">
        <f>0.25*10^-6</f>
        <v>2.4999999999999999E-7</v>
      </c>
      <c r="F110" s="30"/>
      <c r="G110" s="30"/>
      <c r="H110" s="30"/>
      <c r="I110" s="30"/>
    </row>
    <row r="111" spans="1:9" ht="17.649999999999999" x14ac:dyDescent="0.5">
      <c r="A111" s="32" t="s">
        <v>156</v>
      </c>
      <c r="B111" s="24" t="s">
        <v>547</v>
      </c>
      <c r="C111" s="24" t="s">
        <v>323</v>
      </c>
      <c r="D111" s="24" t="s">
        <v>330</v>
      </c>
      <c r="E111" s="24">
        <f>0.3*10^-6</f>
        <v>2.9999999999999999E-7</v>
      </c>
      <c r="F111" s="30"/>
      <c r="G111" s="30"/>
      <c r="H111" s="30"/>
      <c r="I111" s="30"/>
    </row>
    <row r="112" spans="1:9" ht="17.649999999999999" x14ac:dyDescent="0.5">
      <c r="A112" s="32" t="s">
        <v>156</v>
      </c>
      <c r="B112" s="25" t="s">
        <v>548</v>
      </c>
      <c r="C112" s="24" t="s">
        <v>333</v>
      </c>
      <c r="D112" s="24" t="s">
        <v>331</v>
      </c>
      <c r="E112" s="24">
        <f>2.21*10^-6</f>
        <v>2.21E-6</v>
      </c>
      <c r="F112" s="30"/>
      <c r="G112" s="30"/>
      <c r="H112" s="30"/>
      <c r="I112" s="30"/>
    </row>
    <row r="113" spans="1:9" ht="17.649999999999999" x14ac:dyDescent="0.5">
      <c r="A113" s="32" t="s">
        <v>156</v>
      </c>
      <c r="B113" s="25" t="s">
        <v>549</v>
      </c>
      <c r="C113" s="24" t="s">
        <v>333</v>
      </c>
      <c r="D113" s="24" t="s">
        <v>331</v>
      </c>
      <c r="E113" s="24">
        <f>1.95*10^-6</f>
        <v>1.95E-6</v>
      </c>
      <c r="F113" s="30"/>
      <c r="G113" s="30"/>
      <c r="H113" s="30"/>
      <c r="I113" s="30"/>
    </row>
    <row r="114" spans="1:9" ht="17.649999999999999" x14ac:dyDescent="0.5">
      <c r="A114" s="32" t="s">
        <v>156</v>
      </c>
      <c r="B114" s="25" t="s">
        <v>550</v>
      </c>
      <c r="C114" s="24" t="s">
        <v>333</v>
      </c>
      <c r="D114" s="24" t="s">
        <v>331</v>
      </c>
      <c r="E114" s="24">
        <f>1.27*10^-6</f>
        <v>1.2699999999999999E-6</v>
      </c>
      <c r="F114" s="30"/>
      <c r="G114" s="30"/>
      <c r="H114" s="30"/>
      <c r="I114" s="30"/>
    </row>
    <row r="115" spans="1:9" ht="17.649999999999999" x14ac:dyDescent="0.5">
      <c r="A115" s="32" t="s">
        <v>156</v>
      </c>
      <c r="B115" s="25" t="s">
        <v>419</v>
      </c>
      <c r="C115" s="24" t="s">
        <v>323</v>
      </c>
      <c r="D115" s="24" t="s">
        <v>328</v>
      </c>
      <c r="E115" s="24">
        <f>0.5*10^-6</f>
        <v>4.9999999999999998E-7</v>
      </c>
      <c r="F115" s="30"/>
      <c r="G115" s="30"/>
      <c r="H115" s="30"/>
      <c r="I115" s="30"/>
    </row>
    <row r="116" spans="1:9" ht="17.649999999999999" x14ac:dyDescent="0.5">
      <c r="A116" s="32" t="s">
        <v>156</v>
      </c>
      <c r="B116" s="25" t="s">
        <v>551</v>
      </c>
      <c r="C116" s="24" t="s">
        <v>323</v>
      </c>
      <c r="D116" s="24" t="s">
        <v>332</v>
      </c>
      <c r="E116" s="24">
        <f>0.12*10^-6</f>
        <v>1.1999999999999999E-7</v>
      </c>
      <c r="F116" s="30"/>
      <c r="G116" s="30"/>
      <c r="H116" s="30"/>
      <c r="I116" s="30"/>
    </row>
    <row r="117" spans="1:9" ht="17.649999999999999" x14ac:dyDescent="0.5">
      <c r="A117" s="32" t="s">
        <v>158</v>
      </c>
      <c r="B117" s="24" t="s">
        <v>334</v>
      </c>
      <c r="C117" s="24" t="s">
        <v>323</v>
      </c>
      <c r="D117" s="24" t="s">
        <v>344</v>
      </c>
      <c r="E117" s="24">
        <f>14*10^-6</f>
        <v>1.4E-5</v>
      </c>
      <c r="F117" s="30"/>
      <c r="G117" s="30"/>
      <c r="H117" s="30"/>
      <c r="I117" s="30"/>
    </row>
    <row r="118" spans="1:9" ht="17.649999999999999" x14ac:dyDescent="0.5">
      <c r="A118" s="32" t="s">
        <v>343</v>
      </c>
      <c r="B118" s="24" t="s">
        <v>335</v>
      </c>
      <c r="C118" s="24" t="s">
        <v>323</v>
      </c>
      <c r="D118" s="24" t="s">
        <v>345</v>
      </c>
      <c r="E118" s="24">
        <f>10*10^-6</f>
        <v>9.9999999999999991E-6</v>
      </c>
      <c r="F118" s="30"/>
      <c r="G118" s="30"/>
      <c r="H118" s="30"/>
      <c r="I118" s="30"/>
    </row>
    <row r="119" spans="1:9" ht="17.649999999999999" x14ac:dyDescent="0.5">
      <c r="A119" s="32" t="s">
        <v>343</v>
      </c>
      <c r="B119" s="24" t="s">
        <v>336</v>
      </c>
      <c r="C119" s="24" t="s">
        <v>323</v>
      </c>
      <c r="D119" s="24" t="s">
        <v>346</v>
      </c>
      <c r="E119" s="24">
        <f>10*10^-6</f>
        <v>9.9999999999999991E-6</v>
      </c>
      <c r="F119" s="30"/>
      <c r="G119" s="30"/>
      <c r="H119" s="30"/>
      <c r="I119" s="30"/>
    </row>
    <row r="120" spans="1:9" ht="17.649999999999999" x14ac:dyDescent="0.5">
      <c r="A120" s="32" t="s">
        <v>343</v>
      </c>
      <c r="B120" s="24" t="s">
        <v>337</v>
      </c>
      <c r="C120" s="24" t="s">
        <v>323</v>
      </c>
      <c r="D120" s="24" t="s">
        <v>346</v>
      </c>
      <c r="E120" s="24">
        <f>10*10^-6</f>
        <v>9.9999999999999991E-6</v>
      </c>
      <c r="F120" s="30"/>
      <c r="G120" s="30"/>
      <c r="H120" s="30"/>
      <c r="I120" s="30"/>
    </row>
    <row r="121" spans="1:9" ht="17.649999999999999" x14ac:dyDescent="0.5">
      <c r="A121" s="32" t="s">
        <v>343</v>
      </c>
      <c r="B121" s="24" t="s">
        <v>342</v>
      </c>
      <c r="C121" s="24" t="s">
        <v>323</v>
      </c>
      <c r="D121" s="24" t="s">
        <v>347</v>
      </c>
      <c r="E121" s="24">
        <f>12*10^-6</f>
        <v>1.2E-5</v>
      </c>
      <c r="F121" s="30"/>
      <c r="G121" s="30"/>
      <c r="H121" s="30"/>
      <c r="I121" s="30"/>
    </row>
    <row r="122" spans="1:9" ht="17.649999999999999" x14ac:dyDescent="0.5">
      <c r="A122" s="32" t="s">
        <v>343</v>
      </c>
      <c r="B122" s="24" t="s">
        <v>338</v>
      </c>
      <c r="C122" s="24" t="s">
        <v>323</v>
      </c>
      <c r="D122" s="24" t="s">
        <v>347</v>
      </c>
      <c r="E122" s="24">
        <f t="shared" ref="E122:E123" si="0">12*10^-6</f>
        <v>1.2E-5</v>
      </c>
      <c r="F122" s="30"/>
      <c r="G122" s="30"/>
      <c r="H122" s="30"/>
      <c r="I122" s="30"/>
    </row>
    <row r="123" spans="1:9" ht="17.649999999999999" x14ac:dyDescent="0.5">
      <c r="A123" s="32" t="s">
        <v>343</v>
      </c>
      <c r="B123" s="24" t="s">
        <v>339</v>
      </c>
      <c r="C123" s="24" t="s">
        <v>323</v>
      </c>
      <c r="D123" s="24" t="s">
        <v>346</v>
      </c>
      <c r="E123" s="24">
        <f t="shared" si="0"/>
        <v>1.2E-5</v>
      </c>
      <c r="F123" s="30"/>
      <c r="G123" s="30"/>
      <c r="H123" s="30"/>
      <c r="I123" s="30"/>
    </row>
    <row r="124" spans="1:9" ht="17.649999999999999" x14ac:dyDescent="0.5">
      <c r="A124" s="32" t="s">
        <v>343</v>
      </c>
      <c r="B124" s="24" t="s">
        <v>340</v>
      </c>
      <c r="C124" s="24" t="s">
        <v>323</v>
      </c>
      <c r="D124" s="24" t="s">
        <v>346</v>
      </c>
      <c r="E124" s="24">
        <f>12*10^-6</f>
        <v>1.2E-5</v>
      </c>
      <c r="F124" s="30"/>
      <c r="G124" s="30"/>
      <c r="H124" s="30"/>
      <c r="I124" s="30"/>
    </row>
    <row r="125" spans="1:9" ht="17.649999999999999" x14ac:dyDescent="0.5">
      <c r="A125" s="32" t="s">
        <v>343</v>
      </c>
      <c r="B125" s="24" t="s">
        <v>341</v>
      </c>
      <c r="C125" s="24" t="s">
        <v>323</v>
      </c>
      <c r="D125" s="24" t="s">
        <v>346</v>
      </c>
      <c r="E125" s="24">
        <f>33*10^-6</f>
        <v>3.2999999999999996E-5</v>
      </c>
      <c r="F125" s="30"/>
      <c r="G125" s="30"/>
      <c r="H125" s="30"/>
      <c r="I125" s="30"/>
    </row>
    <row r="126" spans="1:9" ht="17.649999999999999" x14ac:dyDescent="0.5">
      <c r="A126" s="32" t="s">
        <v>167</v>
      </c>
      <c r="B126" s="35" t="s">
        <v>552</v>
      </c>
      <c r="C126" s="24" t="s">
        <v>348</v>
      </c>
      <c r="D126" s="24" t="s">
        <v>350</v>
      </c>
      <c r="E126" s="24">
        <f>9.28*10^-6</f>
        <v>9.2799999999999992E-6</v>
      </c>
      <c r="F126" s="30"/>
      <c r="G126" s="30"/>
      <c r="H126" s="30"/>
      <c r="I126" s="30"/>
    </row>
    <row r="127" spans="1:9" ht="17.649999999999999" x14ac:dyDescent="0.5">
      <c r="A127" s="32" t="s">
        <v>167</v>
      </c>
      <c r="B127" s="24" t="s">
        <v>553</v>
      </c>
      <c r="C127" s="24" t="s">
        <v>349</v>
      </c>
      <c r="D127" s="24" t="s">
        <v>350</v>
      </c>
      <c r="E127" s="24">
        <f>7.83*10^-6</f>
        <v>7.8299999999999996E-6</v>
      </c>
      <c r="F127" s="30"/>
      <c r="G127" s="30"/>
      <c r="H127" s="30"/>
      <c r="I127" s="30"/>
    </row>
    <row r="128" spans="1:9" ht="17.649999999999999" x14ac:dyDescent="0.5">
      <c r="A128" s="32" t="s">
        <v>167</v>
      </c>
      <c r="B128" s="35" t="s">
        <v>554</v>
      </c>
      <c r="C128" s="24" t="s">
        <v>349</v>
      </c>
      <c r="D128" s="24" t="s">
        <v>350</v>
      </c>
      <c r="E128" s="24">
        <f>8.54*10^-6</f>
        <v>8.5399999999999996E-6</v>
      </c>
      <c r="F128" s="30"/>
      <c r="G128" s="30"/>
      <c r="H128" s="30"/>
      <c r="I128" s="30"/>
    </row>
    <row r="129" spans="1:9" ht="17.649999999999999" x14ac:dyDescent="0.5">
      <c r="A129" s="32" t="s">
        <v>173</v>
      </c>
      <c r="B129" s="25" t="s">
        <v>555</v>
      </c>
      <c r="C129" s="24" t="s">
        <v>351</v>
      </c>
      <c r="D129" s="24" t="s">
        <v>312</v>
      </c>
      <c r="E129" s="24">
        <f>4.95*10^-6</f>
        <v>4.95E-6</v>
      </c>
      <c r="F129" s="30"/>
      <c r="G129" s="30"/>
      <c r="H129" s="30"/>
      <c r="I129" s="30"/>
    </row>
    <row r="130" spans="1:9" ht="17.649999999999999" x14ac:dyDescent="0.5">
      <c r="A130" s="32" t="s">
        <v>223</v>
      </c>
      <c r="B130" s="24" t="s">
        <v>353</v>
      </c>
      <c r="C130" s="24" t="s">
        <v>323</v>
      </c>
      <c r="D130" s="24" t="s">
        <v>352</v>
      </c>
      <c r="E130" s="24">
        <f>8.51*10^-6</f>
        <v>8.5099999999999998E-6</v>
      </c>
      <c r="F130" s="30"/>
    </row>
    <row r="134" spans="1:9" x14ac:dyDescent="0.5">
      <c r="A134" s="16" t="s">
        <v>451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D010-8F40-D140-9D09-D346C63AC86A}">
  <dimension ref="A1:V88"/>
  <sheetViews>
    <sheetView topLeftCell="F1" workbookViewId="0">
      <selection activeCell="F43" sqref="F43"/>
    </sheetView>
  </sheetViews>
  <sheetFormatPr defaultColWidth="10.8125" defaultRowHeight="15.75" x14ac:dyDescent="0.5"/>
  <cols>
    <col min="1" max="1" width="12.3125" style="20" bestFit="1" customWidth="1"/>
    <col min="2" max="2" width="32.1875" style="20" bestFit="1" customWidth="1"/>
    <col min="3" max="3" width="6.5" style="20" bestFit="1" customWidth="1"/>
    <col min="4" max="4" width="184" style="20" bestFit="1" customWidth="1"/>
    <col min="5" max="5" width="21.3125" style="20" customWidth="1"/>
    <col min="6" max="6" width="33.5" style="20" bestFit="1" customWidth="1"/>
    <col min="7" max="7" width="27.6875" style="20" bestFit="1" customWidth="1"/>
    <col min="8" max="8" width="34.3125" style="20" bestFit="1" customWidth="1"/>
    <col min="9" max="9" width="23.8125" style="20" bestFit="1" customWidth="1"/>
    <col min="10" max="10" width="22.8125" style="20" bestFit="1" customWidth="1"/>
    <col min="11" max="11" width="22.6875" style="20" customWidth="1"/>
    <col min="12" max="12" width="14.5" style="20" bestFit="1" customWidth="1"/>
    <col min="13" max="13" width="63.1875" style="20" bestFit="1" customWidth="1"/>
    <col min="14" max="14" width="63.3125" style="20" bestFit="1" customWidth="1"/>
    <col min="15" max="15" width="25.6875" style="20" bestFit="1" customWidth="1"/>
    <col min="16" max="16" width="14.5" style="20" bestFit="1" customWidth="1"/>
    <col min="17" max="17" width="10.8125" style="28"/>
    <col min="18" max="18" width="64.8125" style="28" bestFit="1" customWidth="1"/>
    <col min="19" max="16384" width="10.8125" style="28"/>
  </cols>
  <sheetData>
    <row r="1" spans="1:22" s="27" customFormat="1" ht="17.649999999999999" x14ac:dyDescent="0.5">
      <c r="A1" s="18" t="s">
        <v>447</v>
      </c>
      <c r="B1" s="27" t="s">
        <v>450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R1" s="29"/>
      <c r="S1" s="29"/>
      <c r="T1" s="29"/>
      <c r="U1" s="29"/>
      <c r="V1" s="29"/>
    </row>
    <row r="2" spans="1:22" x14ac:dyDescent="0.5">
      <c r="A2" s="44"/>
    </row>
    <row r="3" spans="1:22" x14ac:dyDescent="0.5">
      <c r="A3" s="44"/>
      <c r="B3" s="22" t="s">
        <v>357</v>
      </c>
      <c r="C3" s="22" t="s">
        <v>358</v>
      </c>
      <c r="D3" s="22" t="s">
        <v>359</v>
      </c>
      <c r="E3" s="23" t="s">
        <v>378</v>
      </c>
      <c r="F3" s="23" t="s">
        <v>234</v>
      </c>
      <c r="G3" s="23" t="s">
        <v>229</v>
      </c>
      <c r="H3" s="23" t="s">
        <v>384</v>
      </c>
      <c r="I3" s="23" t="s">
        <v>392</v>
      </c>
      <c r="J3" s="23" t="s">
        <v>386</v>
      </c>
      <c r="K3" s="23" t="s">
        <v>388</v>
      </c>
      <c r="L3" s="23" t="s">
        <v>389</v>
      </c>
      <c r="M3" s="23" t="s">
        <v>391</v>
      </c>
      <c r="N3" s="23" t="s">
        <v>403</v>
      </c>
      <c r="O3" s="23" t="s">
        <v>401</v>
      </c>
      <c r="P3" s="23" t="s">
        <v>231</v>
      </c>
    </row>
    <row r="4" spans="1:22" x14ac:dyDescent="0.5">
      <c r="A4" s="44"/>
      <c r="B4" s="24" t="s">
        <v>368</v>
      </c>
      <c r="C4" s="24">
        <v>2022</v>
      </c>
      <c r="D4" s="24" t="s">
        <v>377</v>
      </c>
      <c r="E4" s="24" t="s">
        <v>369</v>
      </c>
      <c r="F4" s="25" t="s">
        <v>457</v>
      </c>
      <c r="G4" s="24" t="s">
        <v>383</v>
      </c>
      <c r="H4" s="24" t="s">
        <v>385</v>
      </c>
      <c r="I4" s="24" t="s">
        <v>393</v>
      </c>
      <c r="J4" s="24" t="s">
        <v>387</v>
      </c>
      <c r="K4" s="25">
        <v>520</v>
      </c>
      <c r="L4" s="24" t="s">
        <v>390</v>
      </c>
      <c r="M4" s="25" t="s">
        <v>394</v>
      </c>
      <c r="N4" s="25" t="s">
        <v>396</v>
      </c>
      <c r="O4" s="25" t="s">
        <v>232</v>
      </c>
      <c r="P4" s="25">
        <f>9.18*10^-6</f>
        <v>9.1799999999999985E-6</v>
      </c>
    </row>
    <row r="5" spans="1:22" x14ac:dyDescent="0.5">
      <c r="A5" s="44"/>
      <c r="B5" s="24" t="s">
        <v>368</v>
      </c>
      <c r="C5" s="24">
        <v>2022</v>
      </c>
      <c r="D5" s="24" t="s">
        <v>379</v>
      </c>
      <c r="E5" s="24"/>
      <c r="F5" s="24" t="s">
        <v>456</v>
      </c>
      <c r="G5" s="24" t="s">
        <v>383</v>
      </c>
      <c r="H5" s="24" t="s">
        <v>385</v>
      </c>
      <c r="I5" s="24" t="s">
        <v>393</v>
      </c>
      <c r="J5" s="24" t="s">
        <v>387</v>
      </c>
      <c r="K5" s="25">
        <v>520</v>
      </c>
      <c r="L5" s="24" t="s">
        <v>390</v>
      </c>
      <c r="M5" s="25" t="s">
        <v>394</v>
      </c>
      <c r="N5" s="25" t="s">
        <v>396</v>
      </c>
      <c r="O5" s="25" t="s">
        <v>232</v>
      </c>
      <c r="P5" s="25">
        <f>10.47*10^-6</f>
        <v>1.047E-5</v>
      </c>
    </row>
    <row r="6" spans="1:22" x14ac:dyDescent="0.5">
      <c r="A6" s="44"/>
      <c r="B6" s="24" t="s">
        <v>368</v>
      </c>
      <c r="C6" s="24">
        <v>2022</v>
      </c>
      <c r="D6" s="24" t="s">
        <v>380</v>
      </c>
      <c r="E6" s="24"/>
      <c r="F6" s="25" t="s">
        <v>454</v>
      </c>
      <c r="G6" s="24" t="s">
        <v>383</v>
      </c>
      <c r="H6" s="24" t="s">
        <v>385</v>
      </c>
      <c r="I6" s="24" t="s">
        <v>393</v>
      </c>
      <c r="J6" s="24" t="s">
        <v>387</v>
      </c>
      <c r="K6" s="25">
        <v>520</v>
      </c>
      <c r="L6" s="24" t="s">
        <v>390</v>
      </c>
      <c r="M6" s="25" t="s">
        <v>394</v>
      </c>
      <c r="N6" s="25" t="s">
        <v>396</v>
      </c>
      <c r="O6" s="25" t="s">
        <v>232</v>
      </c>
      <c r="P6" s="25">
        <f>10.18*10^-6</f>
        <v>1.0179999999999999E-5</v>
      </c>
    </row>
    <row r="7" spans="1:22" x14ac:dyDescent="0.5">
      <c r="A7" s="44"/>
      <c r="B7" s="24" t="s">
        <v>368</v>
      </c>
      <c r="C7" s="24">
        <v>2022</v>
      </c>
      <c r="D7" s="24" t="s">
        <v>381</v>
      </c>
      <c r="E7" s="24"/>
      <c r="F7" s="25" t="s">
        <v>453</v>
      </c>
      <c r="G7" s="24" t="s">
        <v>383</v>
      </c>
      <c r="H7" s="24" t="s">
        <v>385</v>
      </c>
      <c r="I7" s="24" t="s">
        <v>393</v>
      </c>
      <c r="J7" s="24" t="s">
        <v>387</v>
      </c>
      <c r="K7" s="25">
        <v>520</v>
      </c>
      <c r="L7" s="24" t="s">
        <v>390</v>
      </c>
      <c r="M7" s="25" t="s">
        <v>394</v>
      </c>
      <c r="N7" s="25" t="s">
        <v>396</v>
      </c>
      <c r="O7" s="25" t="s">
        <v>232</v>
      </c>
      <c r="P7" s="25">
        <f>9.98*10^-6</f>
        <v>9.9799999999999993E-6</v>
      </c>
    </row>
    <row r="8" spans="1:22" x14ac:dyDescent="0.5">
      <c r="A8" s="44"/>
      <c r="B8" s="24" t="s">
        <v>368</v>
      </c>
      <c r="C8" s="24">
        <v>2022</v>
      </c>
      <c r="D8" s="24" t="s">
        <v>382</v>
      </c>
      <c r="E8" s="24"/>
      <c r="F8" s="24" t="s">
        <v>452</v>
      </c>
      <c r="G8" s="24" t="s">
        <v>383</v>
      </c>
      <c r="H8" s="24" t="s">
        <v>385</v>
      </c>
      <c r="I8" s="24" t="s">
        <v>393</v>
      </c>
      <c r="J8" s="24" t="s">
        <v>387</v>
      </c>
      <c r="K8" s="25">
        <v>520</v>
      </c>
      <c r="L8" s="24" t="s">
        <v>390</v>
      </c>
      <c r="M8" s="25" t="s">
        <v>394</v>
      </c>
      <c r="N8" s="25" t="s">
        <v>396</v>
      </c>
      <c r="O8" s="25" t="s">
        <v>232</v>
      </c>
      <c r="P8" s="25">
        <f>9.91*10^-6</f>
        <v>9.91E-6</v>
      </c>
    </row>
    <row r="9" spans="1:22" x14ac:dyDescent="0.5">
      <c r="A9" s="44"/>
      <c r="B9" s="24" t="s">
        <v>370</v>
      </c>
      <c r="C9" s="24">
        <v>2019</v>
      </c>
      <c r="D9" s="24" t="s">
        <v>371</v>
      </c>
      <c r="E9" s="24" t="s">
        <v>372</v>
      </c>
      <c r="F9" s="25" t="s">
        <v>456</v>
      </c>
      <c r="G9" s="24" t="s">
        <v>383</v>
      </c>
      <c r="H9" s="24" t="s">
        <v>385</v>
      </c>
      <c r="I9" s="24" t="s">
        <v>393</v>
      </c>
      <c r="J9" s="24" t="s">
        <v>387</v>
      </c>
      <c r="K9" s="25">
        <v>520</v>
      </c>
      <c r="L9" s="24" t="s">
        <v>390</v>
      </c>
      <c r="M9" s="25" t="s">
        <v>394</v>
      </c>
      <c r="N9" s="25" t="s">
        <v>395</v>
      </c>
      <c r="O9" s="25" t="s">
        <v>402</v>
      </c>
      <c r="P9" s="25">
        <f>9.18*10^-6</f>
        <v>9.1799999999999985E-6</v>
      </c>
    </row>
    <row r="10" spans="1:22" x14ac:dyDescent="0.5">
      <c r="A10" s="44"/>
      <c r="B10" s="24" t="s">
        <v>370</v>
      </c>
      <c r="C10" s="24">
        <v>2019</v>
      </c>
      <c r="D10" s="24" t="s">
        <v>371</v>
      </c>
      <c r="E10" s="24"/>
      <c r="F10" s="24" t="s">
        <v>454</v>
      </c>
      <c r="G10" s="24" t="s">
        <v>383</v>
      </c>
      <c r="H10" s="24" t="s">
        <v>385</v>
      </c>
      <c r="I10" s="24" t="s">
        <v>393</v>
      </c>
      <c r="J10" s="24" t="s">
        <v>387</v>
      </c>
      <c r="K10" s="25">
        <v>520</v>
      </c>
      <c r="L10" s="24" t="s">
        <v>390</v>
      </c>
      <c r="M10" s="25" t="s">
        <v>394</v>
      </c>
      <c r="N10" s="25" t="s">
        <v>395</v>
      </c>
      <c r="O10" s="25" t="s">
        <v>402</v>
      </c>
      <c r="P10" s="24">
        <f>10.47*10^-6</f>
        <v>1.047E-5</v>
      </c>
    </row>
    <row r="11" spans="1:22" x14ac:dyDescent="0.5">
      <c r="A11" s="44"/>
      <c r="B11" s="24" t="s">
        <v>370</v>
      </c>
      <c r="C11" s="24">
        <v>2019</v>
      </c>
      <c r="D11" s="24" t="s">
        <v>371</v>
      </c>
      <c r="E11" s="24"/>
      <c r="F11" s="24" t="s">
        <v>453</v>
      </c>
      <c r="G11" s="24" t="s">
        <v>383</v>
      </c>
      <c r="H11" s="24" t="s">
        <v>385</v>
      </c>
      <c r="I11" s="24" t="s">
        <v>393</v>
      </c>
      <c r="J11" s="24" t="s">
        <v>387</v>
      </c>
      <c r="K11" s="25">
        <v>520</v>
      </c>
      <c r="L11" s="24" t="s">
        <v>390</v>
      </c>
      <c r="M11" s="25" t="s">
        <v>394</v>
      </c>
      <c r="N11" s="25" t="s">
        <v>395</v>
      </c>
      <c r="O11" s="25" t="s">
        <v>402</v>
      </c>
      <c r="P11" s="25">
        <f>10.18*10^-6</f>
        <v>1.0179999999999999E-5</v>
      </c>
    </row>
    <row r="12" spans="1:22" x14ac:dyDescent="0.5">
      <c r="A12" s="44"/>
      <c r="B12" s="24" t="s">
        <v>370</v>
      </c>
      <c r="C12" s="24">
        <v>2019</v>
      </c>
      <c r="D12" s="24" t="s">
        <v>371</v>
      </c>
      <c r="E12" s="24"/>
      <c r="F12" s="25" t="s">
        <v>452</v>
      </c>
      <c r="G12" s="24" t="s">
        <v>383</v>
      </c>
      <c r="H12" s="24" t="s">
        <v>385</v>
      </c>
      <c r="I12" s="24" t="s">
        <v>393</v>
      </c>
      <c r="J12" s="24" t="s">
        <v>387</v>
      </c>
      <c r="K12" s="25">
        <v>520</v>
      </c>
      <c r="L12" s="24" t="s">
        <v>390</v>
      </c>
      <c r="M12" s="25" t="s">
        <v>394</v>
      </c>
      <c r="N12" s="25" t="s">
        <v>395</v>
      </c>
      <c r="O12" s="25" t="s">
        <v>402</v>
      </c>
      <c r="P12" s="25">
        <f>9.98*10^-6</f>
        <v>9.9799999999999993E-6</v>
      </c>
    </row>
    <row r="13" spans="1:22" x14ac:dyDescent="0.5">
      <c r="A13" s="44"/>
      <c r="B13" s="24" t="s">
        <v>370</v>
      </c>
      <c r="C13" s="24">
        <v>2019</v>
      </c>
      <c r="D13" s="24" t="s">
        <v>371</v>
      </c>
      <c r="E13" s="24"/>
      <c r="F13" s="25" t="s">
        <v>457</v>
      </c>
      <c r="G13" s="24" t="s">
        <v>383</v>
      </c>
      <c r="H13" s="24" t="s">
        <v>385</v>
      </c>
      <c r="I13" s="24" t="s">
        <v>393</v>
      </c>
      <c r="J13" s="24" t="s">
        <v>387</v>
      </c>
      <c r="K13" s="25">
        <v>520</v>
      </c>
      <c r="L13" s="24" t="s">
        <v>390</v>
      </c>
      <c r="M13" s="25" t="s">
        <v>394</v>
      </c>
      <c r="N13" s="25" t="s">
        <v>395</v>
      </c>
      <c r="O13" s="25" t="s">
        <v>402</v>
      </c>
      <c r="P13" s="25">
        <f>9.91*10^-6</f>
        <v>9.91E-6</v>
      </c>
    </row>
    <row r="14" spans="1:22" x14ac:dyDescent="0.5">
      <c r="A14" s="44"/>
      <c r="B14" s="24" t="s">
        <v>373</v>
      </c>
      <c r="C14" s="24">
        <v>2019</v>
      </c>
      <c r="D14" s="24" t="s">
        <v>374</v>
      </c>
      <c r="E14" s="24" t="s">
        <v>375</v>
      </c>
      <c r="F14" s="25" t="s">
        <v>456</v>
      </c>
      <c r="G14" s="24" t="s">
        <v>383</v>
      </c>
      <c r="H14" s="24" t="s">
        <v>385</v>
      </c>
      <c r="I14" s="24" t="s">
        <v>393</v>
      </c>
      <c r="J14" s="24" t="s">
        <v>387</v>
      </c>
      <c r="K14" s="25">
        <v>520</v>
      </c>
      <c r="L14" s="24" t="s">
        <v>390</v>
      </c>
      <c r="M14" s="25" t="s">
        <v>394</v>
      </c>
      <c r="N14" s="25" t="s">
        <v>395</v>
      </c>
      <c r="O14" s="25" t="s">
        <v>402</v>
      </c>
      <c r="P14" s="25">
        <f>10.54*10^-6</f>
        <v>1.0539999999999999E-5</v>
      </c>
    </row>
    <row r="15" spans="1:22" x14ac:dyDescent="0.5">
      <c r="A15" s="44"/>
      <c r="B15" s="24" t="s">
        <v>373</v>
      </c>
      <c r="C15" s="24">
        <v>2019</v>
      </c>
      <c r="D15" s="24" t="s">
        <v>397</v>
      </c>
      <c r="E15" s="24"/>
      <c r="F15" s="25" t="s">
        <v>454</v>
      </c>
      <c r="G15" s="24" t="s">
        <v>383</v>
      </c>
      <c r="H15" s="24" t="s">
        <v>385</v>
      </c>
      <c r="I15" s="24" t="s">
        <v>393</v>
      </c>
      <c r="J15" s="24" t="s">
        <v>387</v>
      </c>
      <c r="K15" s="25">
        <v>520</v>
      </c>
      <c r="L15" s="24" t="s">
        <v>390</v>
      </c>
      <c r="M15" s="25" t="s">
        <v>394</v>
      </c>
      <c r="N15" s="25" t="s">
        <v>395</v>
      </c>
      <c r="O15" s="25" t="s">
        <v>402</v>
      </c>
      <c r="P15" s="25">
        <f>10.28*10^-6</f>
        <v>1.0279999999999998E-5</v>
      </c>
    </row>
    <row r="16" spans="1:22" x14ac:dyDescent="0.5">
      <c r="A16" s="44"/>
      <c r="B16" s="24" t="s">
        <v>373</v>
      </c>
      <c r="C16" s="24">
        <v>2019</v>
      </c>
      <c r="D16" s="24" t="s">
        <v>398</v>
      </c>
      <c r="E16" s="24"/>
      <c r="F16" s="25" t="s">
        <v>453</v>
      </c>
      <c r="G16" s="24" t="s">
        <v>383</v>
      </c>
      <c r="H16" s="24" t="s">
        <v>385</v>
      </c>
      <c r="I16" s="24" t="s">
        <v>393</v>
      </c>
      <c r="J16" s="24" t="s">
        <v>387</v>
      </c>
      <c r="K16" s="25">
        <v>520</v>
      </c>
      <c r="L16" s="24" t="s">
        <v>390</v>
      </c>
      <c r="M16" s="25" t="s">
        <v>394</v>
      </c>
      <c r="N16" s="25" t="s">
        <v>395</v>
      </c>
      <c r="O16" s="25" t="s">
        <v>402</v>
      </c>
      <c r="P16" s="25">
        <f>10.11*10^-6</f>
        <v>1.011E-5</v>
      </c>
    </row>
    <row r="17" spans="1:22" x14ac:dyDescent="0.5">
      <c r="A17" s="44"/>
      <c r="B17" s="24" t="s">
        <v>373</v>
      </c>
      <c r="C17" s="24">
        <v>2019</v>
      </c>
      <c r="D17" s="24" t="s">
        <v>399</v>
      </c>
      <c r="E17" s="24"/>
      <c r="F17" s="24" t="s">
        <v>452</v>
      </c>
      <c r="G17" s="24" t="s">
        <v>383</v>
      </c>
      <c r="H17" s="24" t="s">
        <v>385</v>
      </c>
      <c r="I17" s="24" t="s">
        <v>393</v>
      </c>
      <c r="J17" s="24" t="s">
        <v>387</v>
      </c>
      <c r="K17" s="25">
        <v>520</v>
      </c>
      <c r="L17" s="24" t="s">
        <v>390</v>
      </c>
      <c r="M17" s="25" t="s">
        <v>394</v>
      </c>
      <c r="N17" s="25" t="s">
        <v>395</v>
      </c>
      <c r="O17" s="25" t="s">
        <v>402</v>
      </c>
      <c r="P17" s="25">
        <f>9.9*10^-6</f>
        <v>9.9000000000000001E-6</v>
      </c>
    </row>
    <row r="18" spans="1:22" x14ac:dyDescent="0.5">
      <c r="A18" s="44"/>
      <c r="B18" s="24" t="s">
        <v>373</v>
      </c>
      <c r="C18" s="24">
        <v>2019</v>
      </c>
      <c r="D18" s="24" t="s">
        <v>400</v>
      </c>
      <c r="E18" s="24"/>
      <c r="F18" s="25" t="s">
        <v>457</v>
      </c>
      <c r="G18" s="24" t="s">
        <v>383</v>
      </c>
      <c r="H18" s="24" t="s">
        <v>385</v>
      </c>
      <c r="I18" s="24" t="s">
        <v>393</v>
      </c>
      <c r="J18" s="24" t="s">
        <v>387</v>
      </c>
      <c r="K18" s="25">
        <v>520</v>
      </c>
      <c r="L18" s="24" t="s">
        <v>390</v>
      </c>
      <c r="M18" s="25" t="s">
        <v>394</v>
      </c>
      <c r="N18" s="25" t="s">
        <v>395</v>
      </c>
      <c r="O18" s="25" t="s">
        <v>402</v>
      </c>
      <c r="P18" s="25">
        <f>9.11*10^-6</f>
        <v>9.1099999999999992E-6</v>
      </c>
    </row>
    <row r="19" spans="1:22" x14ac:dyDescent="0.5">
      <c r="A19" s="44"/>
      <c r="B19" s="24" t="s">
        <v>373</v>
      </c>
      <c r="C19" s="24">
        <v>2019</v>
      </c>
      <c r="D19" s="24" t="s">
        <v>376</v>
      </c>
      <c r="E19" s="24" t="s">
        <v>375</v>
      </c>
      <c r="F19" s="25" t="s">
        <v>456</v>
      </c>
      <c r="G19" s="24" t="s">
        <v>409</v>
      </c>
      <c r="H19" s="24" t="s">
        <v>385</v>
      </c>
      <c r="I19" s="24" t="s">
        <v>393</v>
      </c>
      <c r="J19" s="24" t="s">
        <v>387</v>
      </c>
      <c r="K19" s="25">
        <v>750</v>
      </c>
      <c r="L19" s="24" t="s">
        <v>232</v>
      </c>
      <c r="M19" s="25" t="s">
        <v>410</v>
      </c>
      <c r="N19" s="25" t="s">
        <v>395</v>
      </c>
      <c r="O19" s="25" t="s">
        <v>411</v>
      </c>
      <c r="P19" s="25">
        <f>10.45*10^-6</f>
        <v>1.0449999999999998E-5</v>
      </c>
    </row>
    <row r="20" spans="1:22" x14ac:dyDescent="0.5">
      <c r="A20" s="44"/>
      <c r="B20" s="24" t="s">
        <v>373</v>
      </c>
      <c r="C20" s="24">
        <v>2019</v>
      </c>
      <c r="D20" s="24" t="s">
        <v>404</v>
      </c>
      <c r="E20" s="24"/>
      <c r="F20" s="25" t="s">
        <v>455</v>
      </c>
      <c r="G20" s="24" t="s">
        <v>409</v>
      </c>
      <c r="H20" s="24" t="s">
        <v>385</v>
      </c>
      <c r="I20" s="24" t="s">
        <v>393</v>
      </c>
      <c r="J20" s="24" t="s">
        <v>387</v>
      </c>
      <c r="K20" s="25">
        <v>750</v>
      </c>
      <c r="L20" s="24" t="s">
        <v>232</v>
      </c>
      <c r="M20" s="25" t="s">
        <v>410</v>
      </c>
      <c r="N20" s="25" t="s">
        <v>395</v>
      </c>
      <c r="O20" s="25" t="s">
        <v>411</v>
      </c>
      <c r="P20" s="25">
        <f>10.26*10^-6</f>
        <v>1.026E-5</v>
      </c>
    </row>
    <row r="21" spans="1:22" x14ac:dyDescent="0.5">
      <c r="A21" s="44"/>
      <c r="B21" s="24" t="s">
        <v>373</v>
      </c>
      <c r="C21" s="24">
        <v>2019</v>
      </c>
      <c r="D21" s="24" t="s">
        <v>405</v>
      </c>
      <c r="E21" s="24"/>
      <c r="F21" s="25" t="s">
        <v>454</v>
      </c>
      <c r="G21" s="24" t="s">
        <v>409</v>
      </c>
      <c r="H21" s="24" t="s">
        <v>385</v>
      </c>
      <c r="I21" s="24" t="s">
        <v>393</v>
      </c>
      <c r="J21" s="24" t="s">
        <v>387</v>
      </c>
      <c r="K21" s="25">
        <v>750</v>
      </c>
      <c r="L21" s="24" t="s">
        <v>232</v>
      </c>
      <c r="M21" s="25" t="s">
        <v>410</v>
      </c>
      <c r="N21" s="25" t="s">
        <v>395</v>
      </c>
      <c r="O21" s="25" t="s">
        <v>411</v>
      </c>
      <c r="P21" s="25">
        <f>10.14*10^-6</f>
        <v>1.0139999999999999E-5</v>
      </c>
    </row>
    <row r="22" spans="1:22" x14ac:dyDescent="0.5">
      <c r="A22" s="44"/>
      <c r="B22" s="24" t="s">
        <v>373</v>
      </c>
      <c r="C22" s="24">
        <v>2019</v>
      </c>
      <c r="D22" s="24" t="s">
        <v>406</v>
      </c>
      <c r="E22" s="24"/>
      <c r="F22" s="24" t="s">
        <v>458</v>
      </c>
      <c r="G22" s="24" t="s">
        <v>409</v>
      </c>
      <c r="H22" s="24" t="s">
        <v>385</v>
      </c>
      <c r="I22" s="24" t="s">
        <v>393</v>
      </c>
      <c r="J22" s="24" t="s">
        <v>387</v>
      </c>
      <c r="K22" s="25">
        <v>750</v>
      </c>
      <c r="L22" s="24" t="s">
        <v>232</v>
      </c>
      <c r="M22" s="25" t="s">
        <v>410</v>
      </c>
      <c r="N22" s="25" t="s">
        <v>395</v>
      </c>
      <c r="O22" s="25" t="s">
        <v>411</v>
      </c>
      <c r="P22" s="25">
        <f>9.98*10^-6</f>
        <v>9.9799999999999993E-6</v>
      </c>
    </row>
    <row r="23" spans="1:22" ht="17.649999999999999" x14ac:dyDescent="0.5">
      <c r="A23" s="44"/>
      <c r="B23" s="24" t="s">
        <v>373</v>
      </c>
      <c r="C23" s="24">
        <v>2019</v>
      </c>
      <c r="D23" s="24" t="s">
        <v>407</v>
      </c>
      <c r="E23" s="24"/>
      <c r="F23" s="24" t="s">
        <v>452</v>
      </c>
      <c r="G23" s="24" t="s">
        <v>409</v>
      </c>
      <c r="H23" s="24" t="s">
        <v>385</v>
      </c>
      <c r="I23" s="24" t="s">
        <v>393</v>
      </c>
      <c r="J23" s="24" t="s">
        <v>387</v>
      </c>
      <c r="K23" s="25">
        <v>750</v>
      </c>
      <c r="L23" s="24" t="s">
        <v>232</v>
      </c>
      <c r="M23" s="25" t="s">
        <v>410</v>
      </c>
      <c r="N23" s="25" t="s">
        <v>395</v>
      </c>
      <c r="O23" s="25" t="s">
        <v>411</v>
      </c>
      <c r="P23" s="25">
        <f>9.84*10^-6</f>
        <v>9.839999999999999E-6</v>
      </c>
      <c r="R23" s="30"/>
      <c r="S23" s="30"/>
      <c r="T23" s="30"/>
      <c r="U23" s="30"/>
      <c r="V23" s="29"/>
    </row>
    <row r="24" spans="1:22" ht="17.649999999999999" x14ac:dyDescent="0.5">
      <c r="A24" s="44"/>
      <c r="B24" s="24" t="s">
        <v>373</v>
      </c>
      <c r="C24" s="24">
        <v>2019</v>
      </c>
      <c r="D24" s="24" t="s">
        <v>408</v>
      </c>
      <c r="E24" s="24"/>
      <c r="F24" s="24" t="s">
        <v>457</v>
      </c>
      <c r="G24" s="24" t="s">
        <v>409</v>
      </c>
      <c r="H24" s="24" t="s">
        <v>385</v>
      </c>
      <c r="I24" s="24" t="s">
        <v>393</v>
      </c>
      <c r="J24" s="24" t="s">
        <v>387</v>
      </c>
      <c r="K24" s="25">
        <v>750</v>
      </c>
      <c r="L24" s="24" t="s">
        <v>232</v>
      </c>
      <c r="M24" s="25" t="s">
        <v>410</v>
      </c>
      <c r="N24" s="25" t="s">
        <v>395</v>
      </c>
      <c r="O24" s="25" t="s">
        <v>411</v>
      </c>
      <c r="P24" s="25">
        <f>9.23*10^-6</f>
        <v>9.2299999999999997E-6</v>
      </c>
      <c r="R24" s="30"/>
      <c r="S24" s="30"/>
      <c r="T24" s="30"/>
      <c r="U24" s="30"/>
      <c r="V24" s="29"/>
    </row>
    <row r="25" spans="1:22" ht="17.649999999999999" x14ac:dyDescent="0.5">
      <c r="A25" s="44"/>
      <c r="B25" s="24" t="s">
        <v>360</v>
      </c>
      <c r="C25" s="24">
        <v>1998</v>
      </c>
      <c r="D25" s="24" t="s">
        <v>361</v>
      </c>
      <c r="E25" s="25"/>
      <c r="F25" s="24" t="s">
        <v>417</v>
      </c>
      <c r="G25" s="24" t="s">
        <v>409</v>
      </c>
      <c r="H25" s="24" t="s">
        <v>385</v>
      </c>
      <c r="I25" s="25" t="s">
        <v>422</v>
      </c>
      <c r="J25" s="24" t="s">
        <v>387</v>
      </c>
      <c r="K25" s="25">
        <v>800</v>
      </c>
      <c r="L25" s="25" t="s">
        <v>232</v>
      </c>
      <c r="M25" s="25" t="s">
        <v>424</v>
      </c>
      <c r="N25" s="25" t="s">
        <v>395</v>
      </c>
      <c r="O25" s="25" t="s">
        <v>425</v>
      </c>
      <c r="P25" s="25">
        <f>8.3*10^-6</f>
        <v>8.3000000000000002E-6</v>
      </c>
      <c r="R25" s="30"/>
      <c r="S25" s="30"/>
      <c r="T25" s="30"/>
      <c r="U25" s="30"/>
      <c r="V25" s="29"/>
    </row>
    <row r="26" spans="1:22" ht="17.649999999999999" x14ac:dyDescent="0.5">
      <c r="A26" s="44"/>
      <c r="B26" s="24" t="s">
        <v>412</v>
      </c>
      <c r="C26" s="24">
        <v>1998</v>
      </c>
      <c r="D26" s="24" t="s">
        <v>361</v>
      </c>
      <c r="E26" s="25"/>
      <c r="F26" s="24" t="s">
        <v>418</v>
      </c>
      <c r="G26" s="24" t="s">
        <v>409</v>
      </c>
      <c r="H26" s="24" t="s">
        <v>385</v>
      </c>
      <c r="I26" s="25" t="s">
        <v>422</v>
      </c>
      <c r="J26" s="24" t="s">
        <v>387</v>
      </c>
      <c r="K26" s="25">
        <v>800</v>
      </c>
      <c r="L26" s="24" t="s">
        <v>232</v>
      </c>
      <c r="M26" s="25" t="s">
        <v>424</v>
      </c>
      <c r="N26" s="25" t="s">
        <v>395</v>
      </c>
      <c r="O26" s="25" t="s">
        <v>425</v>
      </c>
      <c r="P26" s="25">
        <f>9.6*10^-6</f>
        <v>9.5999999999999996E-6</v>
      </c>
      <c r="R26" s="30"/>
      <c r="S26" s="30"/>
      <c r="T26" s="30"/>
      <c r="U26" s="30"/>
      <c r="V26" s="29"/>
    </row>
    <row r="27" spans="1:22" ht="17.649999999999999" x14ac:dyDescent="0.5">
      <c r="A27" s="44"/>
      <c r="B27" s="24" t="s">
        <v>413</v>
      </c>
      <c r="C27" s="24">
        <v>1998</v>
      </c>
      <c r="D27" s="24" t="s">
        <v>361</v>
      </c>
      <c r="E27" s="25"/>
      <c r="F27" s="24" t="s">
        <v>419</v>
      </c>
      <c r="G27" s="24" t="s">
        <v>409</v>
      </c>
      <c r="H27" s="24" t="s">
        <v>385</v>
      </c>
      <c r="I27" s="25" t="s">
        <v>423</v>
      </c>
      <c r="J27" s="24" t="s">
        <v>387</v>
      </c>
      <c r="K27" s="25">
        <v>800</v>
      </c>
      <c r="L27" s="25" t="s">
        <v>232</v>
      </c>
      <c r="M27" s="25" t="s">
        <v>424</v>
      </c>
      <c r="N27" s="25" t="s">
        <v>395</v>
      </c>
      <c r="O27" s="25" t="s">
        <v>425</v>
      </c>
      <c r="P27" s="25">
        <f>14.5*10^-6</f>
        <v>1.45E-5</v>
      </c>
      <c r="R27" s="30"/>
      <c r="S27" s="30"/>
      <c r="T27" s="30"/>
      <c r="U27" s="30"/>
      <c r="V27" s="29"/>
    </row>
    <row r="28" spans="1:22" ht="17.649999999999999" x14ac:dyDescent="0.5">
      <c r="A28" s="44"/>
      <c r="B28" s="24" t="s">
        <v>414</v>
      </c>
      <c r="C28" s="24">
        <v>1998</v>
      </c>
      <c r="D28" s="24" t="s">
        <v>361</v>
      </c>
      <c r="E28" s="25"/>
      <c r="F28" s="24" t="s">
        <v>420</v>
      </c>
      <c r="G28" s="24" t="s">
        <v>409</v>
      </c>
      <c r="H28" s="24" t="s">
        <v>385</v>
      </c>
      <c r="I28" s="25" t="s">
        <v>393</v>
      </c>
      <c r="J28" s="24" t="s">
        <v>387</v>
      </c>
      <c r="K28" s="25">
        <v>800</v>
      </c>
      <c r="L28" s="25" t="s">
        <v>232</v>
      </c>
      <c r="M28" s="25" t="s">
        <v>424</v>
      </c>
      <c r="N28" s="25" t="s">
        <v>395</v>
      </c>
      <c r="O28" s="25" t="s">
        <v>425</v>
      </c>
      <c r="P28" s="25">
        <f>10.7*10^-6</f>
        <v>1.0699999999999999E-5</v>
      </c>
      <c r="R28" s="30"/>
      <c r="S28" s="30"/>
      <c r="T28" s="30"/>
      <c r="U28" s="30"/>
      <c r="V28" s="29"/>
    </row>
    <row r="29" spans="1:22" ht="17.649999999999999" x14ac:dyDescent="0.5">
      <c r="A29" s="44"/>
      <c r="B29" s="24" t="s">
        <v>415</v>
      </c>
      <c r="C29" s="24">
        <v>1998</v>
      </c>
      <c r="D29" s="24" t="s">
        <v>361</v>
      </c>
      <c r="E29" s="25"/>
      <c r="F29" s="24" t="s">
        <v>421</v>
      </c>
      <c r="G29" s="24" t="s">
        <v>409</v>
      </c>
      <c r="H29" s="24" t="s">
        <v>385</v>
      </c>
      <c r="I29" s="25" t="s">
        <v>393</v>
      </c>
      <c r="J29" s="24" t="s">
        <v>387</v>
      </c>
      <c r="K29" s="25">
        <v>800</v>
      </c>
      <c r="L29" s="25" t="s">
        <v>232</v>
      </c>
      <c r="M29" s="25" t="s">
        <v>424</v>
      </c>
      <c r="N29" s="25" t="s">
        <v>395</v>
      </c>
      <c r="O29" s="25" t="s">
        <v>425</v>
      </c>
      <c r="P29" s="25">
        <f>11.2*10^-6</f>
        <v>1.1199999999999999E-5</v>
      </c>
      <c r="R29" s="30"/>
      <c r="S29" s="30"/>
      <c r="T29" s="30"/>
      <c r="U29" s="30"/>
      <c r="V29" s="29"/>
    </row>
    <row r="30" spans="1:22" ht="17.649999999999999" x14ac:dyDescent="0.5">
      <c r="A30" s="44"/>
      <c r="B30" s="24" t="s">
        <v>416</v>
      </c>
      <c r="C30" s="24">
        <v>1998</v>
      </c>
      <c r="D30" s="24" t="s">
        <v>361</v>
      </c>
      <c r="E30" s="25"/>
      <c r="F30" s="24" t="s">
        <v>418</v>
      </c>
      <c r="G30" s="24" t="s">
        <v>409</v>
      </c>
      <c r="H30" s="24" t="s">
        <v>385</v>
      </c>
      <c r="I30" s="25" t="s">
        <v>393</v>
      </c>
      <c r="J30" s="24" t="s">
        <v>387</v>
      </c>
      <c r="K30" s="25">
        <v>800</v>
      </c>
      <c r="L30" s="25" t="s">
        <v>232</v>
      </c>
      <c r="M30" s="25" t="s">
        <v>424</v>
      </c>
      <c r="N30" s="25" t="s">
        <v>395</v>
      </c>
      <c r="O30" s="25" t="s">
        <v>425</v>
      </c>
      <c r="P30" s="25">
        <f>9.6*10^-6</f>
        <v>9.5999999999999996E-6</v>
      </c>
      <c r="R30" s="30"/>
      <c r="S30" s="30"/>
      <c r="T30" s="30"/>
      <c r="U30" s="30"/>
      <c r="V30" s="29"/>
    </row>
    <row r="31" spans="1:22" ht="17.649999999999999" x14ac:dyDescent="0.5">
      <c r="A31" s="44"/>
      <c r="B31" s="24" t="s">
        <v>362</v>
      </c>
      <c r="C31" s="24">
        <v>2022</v>
      </c>
      <c r="D31" s="24" t="s">
        <v>363</v>
      </c>
      <c r="E31" s="25"/>
      <c r="F31" s="24" t="s">
        <v>353</v>
      </c>
      <c r="G31" s="24" t="s">
        <v>383</v>
      </c>
      <c r="H31" s="24" t="s">
        <v>385</v>
      </c>
      <c r="I31" s="25" t="s">
        <v>436</v>
      </c>
      <c r="J31" s="24" t="s">
        <v>387</v>
      </c>
      <c r="K31" s="25">
        <v>600</v>
      </c>
      <c r="L31" s="24" t="s">
        <v>390</v>
      </c>
      <c r="M31" s="25" t="s">
        <v>437</v>
      </c>
      <c r="N31" s="25" t="s">
        <v>395</v>
      </c>
      <c r="O31" s="25" t="s">
        <v>438</v>
      </c>
      <c r="P31" s="25">
        <f>7.6*10^-6</f>
        <v>7.5999999999999992E-6</v>
      </c>
      <c r="R31" s="30"/>
      <c r="S31" s="30"/>
      <c r="T31" s="30"/>
      <c r="U31" s="30"/>
      <c r="V31" s="29"/>
    </row>
    <row r="32" spans="1:22" ht="17.649999999999999" x14ac:dyDescent="0.5">
      <c r="A32" s="44"/>
      <c r="B32" s="24" t="s">
        <v>426</v>
      </c>
      <c r="C32" s="24">
        <v>2022</v>
      </c>
      <c r="D32" s="24" t="s">
        <v>363</v>
      </c>
      <c r="E32" s="25"/>
      <c r="F32" s="24" t="s">
        <v>431</v>
      </c>
      <c r="G32" s="24" t="s">
        <v>383</v>
      </c>
      <c r="H32" s="24" t="s">
        <v>385</v>
      </c>
      <c r="I32" s="25" t="s">
        <v>436</v>
      </c>
      <c r="J32" s="24" t="s">
        <v>387</v>
      </c>
      <c r="K32" s="25">
        <v>600</v>
      </c>
      <c r="L32" s="24" t="s">
        <v>390</v>
      </c>
      <c r="M32" s="25" t="s">
        <v>437</v>
      </c>
      <c r="N32" s="25" t="s">
        <v>395</v>
      </c>
      <c r="O32" s="25" t="s">
        <v>438</v>
      </c>
      <c r="P32" s="25">
        <f>7.2*10^-6</f>
        <v>7.1999999999999997E-6</v>
      </c>
      <c r="R32" s="30"/>
      <c r="S32" s="30"/>
      <c r="T32" s="30"/>
      <c r="U32" s="30"/>
      <c r="V32" s="29"/>
    </row>
    <row r="33" spans="1:22" ht="17.649999999999999" x14ac:dyDescent="0.5">
      <c r="A33" s="44"/>
      <c r="B33" s="24" t="s">
        <v>427</v>
      </c>
      <c r="C33" s="24">
        <v>2022</v>
      </c>
      <c r="D33" s="24" t="s">
        <v>363</v>
      </c>
      <c r="E33" s="25"/>
      <c r="F33" s="24" t="s">
        <v>432</v>
      </c>
      <c r="G33" s="24" t="s">
        <v>383</v>
      </c>
      <c r="H33" s="24" t="s">
        <v>385</v>
      </c>
      <c r="I33" s="25" t="s">
        <v>436</v>
      </c>
      <c r="J33" s="24" t="s">
        <v>387</v>
      </c>
      <c r="K33" s="25">
        <v>600</v>
      </c>
      <c r="L33" s="24" t="s">
        <v>390</v>
      </c>
      <c r="M33" s="25" t="s">
        <v>437</v>
      </c>
      <c r="N33" s="25" t="s">
        <v>395</v>
      </c>
      <c r="O33" s="25" t="s">
        <v>438</v>
      </c>
      <c r="P33" s="25">
        <f>12.4*10^-6</f>
        <v>1.24E-5</v>
      </c>
      <c r="R33" s="30"/>
      <c r="S33" s="30"/>
      <c r="T33" s="30"/>
      <c r="U33" s="30"/>
      <c r="V33" s="29"/>
    </row>
    <row r="34" spans="1:22" ht="17.649999999999999" x14ac:dyDescent="0.5">
      <c r="B34" s="24" t="s">
        <v>428</v>
      </c>
      <c r="C34" s="24">
        <v>2022</v>
      </c>
      <c r="D34" s="24" t="s">
        <v>363</v>
      </c>
      <c r="E34" s="25"/>
      <c r="F34" s="24" t="s">
        <v>433</v>
      </c>
      <c r="G34" s="24" t="s">
        <v>383</v>
      </c>
      <c r="H34" s="24" t="s">
        <v>385</v>
      </c>
      <c r="I34" s="25" t="s">
        <v>436</v>
      </c>
      <c r="J34" s="24" t="s">
        <v>387</v>
      </c>
      <c r="K34" s="25">
        <v>600</v>
      </c>
      <c r="L34" s="24" t="s">
        <v>390</v>
      </c>
      <c r="M34" s="25" t="s">
        <v>437</v>
      </c>
      <c r="N34" s="25" t="s">
        <v>395</v>
      </c>
      <c r="O34" s="25" t="s">
        <v>438</v>
      </c>
      <c r="P34" s="25">
        <f>8.4*10^-6</f>
        <v>8.3999999999999992E-6</v>
      </c>
      <c r="R34" s="30"/>
      <c r="S34" s="30"/>
      <c r="T34" s="30"/>
      <c r="U34" s="30"/>
      <c r="V34" s="29"/>
    </row>
    <row r="35" spans="1:22" ht="17.649999999999999" x14ac:dyDescent="0.5">
      <c r="B35" s="24" t="s">
        <v>429</v>
      </c>
      <c r="C35" s="24">
        <v>2022</v>
      </c>
      <c r="D35" s="24" t="s">
        <v>363</v>
      </c>
      <c r="E35" s="25"/>
      <c r="F35" s="24" t="s">
        <v>434</v>
      </c>
      <c r="G35" s="24" t="s">
        <v>383</v>
      </c>
      <c r="H35" s="24" t="s">
        <v>385</v>
      </c>
      <c r="I35" s="25" t="s">
        <v>436</v>
      </c>
      <c r="J35" s="24" t="s">
        <v>387</v>
      </c>
      <c r="K35" s="25">
        <v>600</v>
      </c>
      <c r="L35" s="24" t="s">
        <v>390</v>
      </c>
      <c r="M35" s="25" t="s">
        <v>437</v>
      </c>
      <c r="N35" s="25" t="s">
        <v>395</v>
      </c>
      <c r="O35" s="25" t="s">
        <v>438</v>
      </c>
      <c r="P35" s="25">
        <f>7.8*10^-6</f>
        <v>7.7999999999999999E-6</v>
      </c>
      <c r="R35" s="30"/>
      <c r="S35" s="30"/>
      <c r="T35" s="30"/>
      <c r="U35" s="30"/>
      <c r="V35" s="29"/>
    </row>
    <row r="36" spans="1:22" ht="17.649999999999999" x14ac:dyDescent="0.5">
      <c r="B36" s="24" t="s">
        <v>430</v>
      </c>
      <c r="C36" s="24">
        <v>2022</v>
      </c>
      <c r="D36" s="24" t="s">
        <v>363</v>
      </c>
      <c r="E36" s="25"/>
      <c r="F36" s="24" t="s">
        <v>435</v>
      </c>
      <c r="G36" s="24" t="s">
        <v>383</v>
      </c>
      <c r="H36" s="24" t="s">
        <v>385</v>
      </c>
      <c r="I36" s="25" t="s">
        <v>436</v>
      </c>
      <c r="J36" s="24" t="s">
        <v>387</v>
      </c>
      <c r="K36" s="25">
        <v>600</v>
      </c>
      <c r="L36" s="24" t="s">
        <v>390</v>
      </c>
      <c r="M36" s="25" t="s">
        <v>437</v>
      </c>
      <c r="N36" s="25" t="s">
        <v>395</v>
      </c>
      <c r="O36" s="25" t="s">
        <v>438</v>
      </c>
      <c r="P36" s="25">
        <f>14.5*10^-6</f>
        <v>1.45E-5</v>
      </c>
      <c r="R36" s="30"/>
      <c r="S36" s="30"/>
      <c r="T36" s="30"/>
      <c r="U36" s="30"/>
      <c r="V36" s="29"/>
    </row>
    <row r="37" spans="1:22" ht="17.649999999999999" x14ac:dyDescent="0.5">
      <c r="B37" s="24" t="s">
        <v>364</v>
      </c>
      <c r="C37" s="24">
        <v>2024</v>
      </c>
      <c r="D37" s="24" t="s">
        <v>365</v>
      </c>
      <c r="E37" s="25"/>
      <c r="F37" s="25" t="s">
        <v>456</v>
      </c>
      <c r="G37" s="24" t="s">
        <v>383</v>
      </c>
      <c r="H37" s="24" t="s">
        <v>385</v>
      </c>
      <c r="I37" s="25" t="s">
        <v>393</v>
      </c>
      <c r="J37" s="24" t="s">
        <v>387</v>
      </c>
      <c r="K37" s="25">
        <v>500</v>
      </c>
      <c r="L37" s="24" t="s">
        <v>390</v>
      </c>
      <c r="M37" s="25" t="s">
        <v>443</v>
      </c>
      <c r="N37" s="25" t="s">
        <v>395</v>
      </c>
      <c r="O37" s="25" t="s">
        <v>444</v>
      </c>
      <c r="P37" s="25">
        <f>10.25*10^-6</f>
        <v>1.025E-5</v>
      </c>
      <c r="R37" s="30"/>
      <c r="S37" s="30"/>
      <c r="T37" s="30"/>
      <c r="U37" s="30"/>
      <c r="V37" s="29"/>
    </row>
    <row r="38" spans="1:22" ht="17.649999999999999" x14ac:dyDescent="0.5">
      <c r="B38" s="24" t="s">
        <v>364</v>
      </c>
      <c r="C38" s="24">
        <v>2024</v>
      </c>
      <c r="D38" s="24" t="s">
        <v>439</v>
      </c>
      <c r="E38" s="25"/>
      <c r="F38" s="24" t="s">
        <v>455</v>
      </c>
      <c r="G38" s="24" t="s">
        <v>383</v>
      </c>
      <c r="H38" s="24" t="s">
        <v>385</v>
      </c>
      <c r="I38" s="25" t="s">
        <v>393</v>
      </c>
      <c r="J38" s="24" t="s">
        <v>387</v>
      </c>
      <c r="K38" s="25">
        <v>500</v>
      </c>
      <c r="L38" s="24" t="s">
        <v>390</v>
      </c>
      <c r="M38" s="25" t="s">
        <v>443</v>
      </c>
      <c r="N38" s="25" t="s">
        <v>395</v>
      </c>
      <c r="O38" s="25" t="s">
        <v>444</v>
      </c>
      <c r="P38" s="25">
        <f>10.1*10^-6</f>
        <v>1.01E-5</v>
      </c>
      <c r="R38" s="30"/>
      <c r="S38" s="30"/>
      <c r="T38" s="30"/>
      <c r="U38" s="30"/>
      <c r="V38" s="29"/>
    </row>
    <row r="39" spans="1:22" ht="17.649999999999999" x14ac:dyDescent="0.5">
      <c r="B39" s="24" t="s">
        <v>364</v>
      </c>
      <c r="C39" s="24">
        <v>2024</v>
      </c>
      <c r="D39" s="24" t="s">
        <v>440</v>
      </c>
      <c r="E39" s="25"/>
      <c r="F39" s="24" t="s">
        <v>454</v>
      </c>
      <c r="G39" s="24" t="s">
        <v>383</v>
      </c>
      <c r="H39" s="24" t="s">
        <v>385</v>
      </c>
      <c r="I39" s="25" t="s">
        <v>393</v>
      </c>
      <c r="J39" s="24" t="s">
        <v>387</v>
      </c>
      <c r="K39" s="25">
        <v>500</v>
      </c>
      <c r="L39" s="24" t="s">
        <v>390</v>
      </c>
      <c r="M39" s="25" t="s">
        <v>443</v>
      </c>
      <c r="N39" s="25" t="s">
        <v>395</v>
      </c>
      <c r="O39" s="25" t="s">
        <v>444</v>
      </c>
      <c r="P39" s="25">
        <f>9.95*10^-6</f>
        <v>9.9499999999999996E-6</v>
      </c>
      <c r="R39" s="30"/>
      <c r="S39" s="30"/>
      <c r="T39" s="30"/>
      <c r="U39" s="30"/>
      <c r="V39" s="29"/>
    </row>
    <row r="40" spans="1:22" ht="17.649999999999999" x14ac:dyDescent="0.5">
      <c r="B40" s="24" t="s">
        <v>364</v>
      </c>
      <c r="C40" s="24">
        <v>2024</v>
      </c>
      <c r="D40" s="24" t="s">
        <v>441</v>
      </c>
      <c r="E40" s="25"/>
      <c r="F40" s="25" t="s">
        <v>453</v>
      </c>
      <c r="G40" s="24" t="s">
        <v>383</v>
      </c>
      <c r="H40" s="24" t="s">
        <v>385</v>
      </c>
      <c r="I40" s="25" t="s">
        <v>393</v>
      </c>
      <c r="J40" s="24" t="s">
        <v>387</v>
      </c>
      <c r="K40" s="25">
        <v>500</v>
      </c>
      <c r="L40" s="24" t="s">
        <v>390</v>
      </c>
      <c r="M40" s="25" t="s">
        <v>443</v>
      </c>
      <c r="N40" s="25" t="s">
        <v>395</v>
      </c>
      <c r="O40" s="25" t="s">
        <v>444</v>
      </c>
      <c r="P40" s="25">
        <f>9.82*10^-6</f>
        <v>9.8199999999999992E-6</v>
      </c>
      <c r="R40" s="30"/>
      <c r="S40" s="30"/>
      <c r="T40" s="30"/>
      <c r="U40" s="30"/>
      <c r="V40" s="29"/>
    </row>
    <row r="41" spans="1:22" ht="17.649999999999999" x14ac:dyDescent="0.5">
      <c r="B41" s="24" t="s">
        <v>364</v>
      </c>
      <c r="C41" s="24">
        <v>2024</v>
      </c>
      <c r="D41" s="24" t="s">
        <v>442</v>
      </c>
      <c r="E41" s="25"/>
      <c r="F41" s="25" t="s">
        <v>452</v>
      </c>
      <c r="G41" s="24" t="s">
        <v>383</v>
      </c>
      <c r="H41" s="24" t="s">
        <v>385</v>
      </c>
      <c r="I41" s="25" t="s">
        <v>393</v>
      </c>
      <c r="J41" s="24" t="s">
        <v>387</v>
      </c>
      <c r="K41" s="25">
        <v>500</v>
      </c>
      <c r="L41" s="24" t="s">
        <v>390</v>
      </c>
      <c r="M41" s="25" t="s">
        <v>443</v>
      </c>
      <c r="N41" s="25" t="s">
        <v>395</v>
      </c>
      <c r="O41" s="25" t="s">
        <v>444</v>
      </c>
      <c r="P41" s="25">
        <f>9.7*10^-6</f>
        <v>9.6999999999999986E-6</v>
      </c>
      <c r="R41" s="30"/>
      <c r="S41" s="30"/>
      <c r="T41" s="30"/>
      <c r="U41" s="30"/>
      <c r="V41" s="29"/>
    </row>
    <row r="42" spans="1:22" ht="17.649999999999999" x14ac:dyDescent="0.5">
      <c r="B42" s="24" t="s">
        <v>366</v>
      </c>
      <c r="C42" s="24">
        <v>2025</v>
      </c>
      <c r="D42" s="24" t="s">
        <v>367</v>
      </c>
      <c r="E42" s="25"/>
      <c r="F42" s="25" t="s">
        <v>556</v>
      </c>
      <c r="G42" s="24" t="s">
        <v>409</v>
      </c>
      <c r="H42" s="24" t="s">
        <v>385</v>
      </c>
      <c r="I42" s="25" t="s">
        <v>445</v>
      </c>
      <c r="J42" s="24" t="s">
        <v>387</v>
      </c>
      <c r="K42" s="25">
        <v>750</v>
      </c>
      <c r="L42" s="25" t="s">
        <v>232</v>
      </c>
      <c r="M42" s="25" t="s">
        <v>446</v>
      </c>
      <c r="N42" s="25" t="s">
        <v>395</v>
      </c>
      <c r="O42" s="25" t="s">
        <v>411</v>
      </c>
      <c r="P42" s="25">
        <f>9.68*10^-6</f>
        <v>9.6799999999999988E-6</v>
      </c>
      <c r="R42" s="30"/>
      <c r="S42" s="30"/>
      <c r="T42" s="30"/>
      <c r="U42" s="30"/>
      <c r="V42" s="29"/>
    </row>
    <row r="43" spans="1:22" ht="17.649999999999999" x14ac:dyDescent="0.5">
      <c r="G43" s="19"/>
      <c r="H43" s="26"/>
      <c r="I43" s="26"/>
      <c r="J43" s="26"/>
      <c r="K43" s="26"/>
      <c r="L43" s="26"/>
      <c r="M43" s="26"/>
      <c r="N43" s="26"/>
      <c r="O43" s="26"/>
      <c r="R43" s="30"/>
      <c r="S43" s="30"/>
      <c r="T43" s="30"/>
      <c r="U43" s="30"/>
      <c r="V43" s="29"/>
    </row>
    <row r="44" spans="1:22" ht="17.649999999999999" x14ac:dyDescent="0.5">
      <c r="H44" s="26"/>
      <c r="I44" s="26"/>
      <c r="J44" s="26"/>
      <c r="K44" s="26"/>
      <c r="L44" s="26"/>
      <c r="M44" s="26"/>
      <c r="N44" s="26"/>
      <c r="O44" s="26"/>
      <c r="R44" s="30"/>
      <c r="S44" s="30"/>
      <c r="T44" s="30"/>
      <c r="U44" s="30"/>
      <c r="V44" s="29"/>
    </row>
    <row r="45" spans="1:22" ht="17.649999999999999" x14ac:dyDescent="0.5">
      <c r="G45" s="19"/>
      <c r="H45" s="26"/>
      <c r="I45" s="26"/>
      <c r="J45" s="26"/>
      <c r="K45" s="26"/>
      <c r="L45" s="26"/>
      <c r="M45" s="26"/>
      <c r="N45" s="26"/>
      <c r="O45" s="26"/>
      <c r="R45" s="30"/>
      <c r="S45" s="30"/>
      <c r="T45" s="30"/>
      <c r="U45" s="30"/>
      <c r="V45" s="29"/>
    </row>
    <row r="46" spans="1:22" ht="17.649999999999999" x14ac:dyDescent="0.5">
      <c r="B46" s="17" t="s">
        <v>448</v>
      </c>
      <c r="C46" s="17"/>
      <c r="D46" s="17"/>
      <c r="H46" s="26"/>
      <c r="I46" s="26"/>
      <c r="J46" s="26"/>
      <c r="K46" s="26"/>
      <c r="L46" s="26"/>
      <c r="M46" s="26"/>
      <c r="N46" s="26"/>
      <c r="O46" s="26"/>
      <c r="R46" s="30"/>
      <c r="S46" s="30"/>
      <c r="T46" s="30"/>
      <c r="U46" s="30"/>
      <c r="V46" s="29"/>
    </row>
    <row r="47" spans="1:22" ht="17.649999999999999" x14ac:dyDescent="0.5">
      <c r="A47" s="21"/>
      <c r="B47" s="17" t="s">
        <v>449</v>
      </c>
      <c r="C47" s="17"/>
      <c r="D47" s="17"/>
      <c r="H47" s="26"/>
      <c r="I47" s="26"/>
      <c r="J47" s="26"/>
      <c r="K47" s="26"/>
      <c r="L47" s="26"/>
      <c r="M47" s="26"/>
      <c r="N47" s="26"/>
      <c r="O47" s="26"/>
      <c r="R47" s="30"/>
      <c r="S47" s="30"/>
      <c r="T47" s="30"/>
      <c r="U47" s="30"/>
      <c r="V47" s="29"/>
    </row>
    <row r="48" spans="1:22" ht="17.649999999999999" x14ac:dyDescent="0.5">
      <c r="H48" s="26"/>
      <c r="I48" s="26"/>
      <c r="J48" s="26"/>
      <c r="K48" s="26"/>
      <c r="L48" s="26"/>
      <c r="M48" s="26"/>
      <c r="N48" s="26"/>
      <c r="O48" s="26"/>
      <c r="R48" s="30"/>
      <c r="S48" s="30"/>
      <c r="T48" s="30"/>
      <c r="U48" s="30"/>
      <c r="V48" s="29"/>
    </row>
    <row r="49" spans="7:22" ht="17.649999999999999" x14ac:dyDescent="0.5">
      <c r="H49" s="26"/>
      <c r="I49" s="26"/>
      <c r="J49" s="26"/>
      <c r="K49" s="26"/>
      <c r="L49" s="26"/>
      <c r="M49" s="26"/>
      <c r="N49" s="26"/>
      <c r="O49" s="26"/>
      <c r="R49" s="30"/>
      <c r="S49" s="30"/>
      <c r="T49" s="30"/>
      <c r="U49" s="30"/>
      <c r="V49" s="29"/>
    </row>
    <row r="50" spans="7:22" ht="17.649999999999999" x14ac:dyDescent="0.5">
      <c r="H50" s="26"/>
      <c r="I50" s="26"/>
      <c r="J50" s="26"/>
      <c r="K50" s="26"/>
      <c r="L50" s="26"/>
      <c r="M50" s="26"/>
      <c r="N50" s="26"/>
      <c r="O50" s="26"/>
      <c r="R50" s="30"/>
      <c r="S50" s="30"/>
      <c r="T50" s="30"/>
      <c r="U50" s="30"/>
      <c r="V50" s="29"/>
    </row>
    <row r="51" spans="7:22" ht="17.649999999999999" x14ac:dyDescent="0.5">
      <c r="G51" s="19"/>
      <c r="H51" s="26"/>
      <c r="I51" s="26"/>
      <c r="J51" s="26"/>
      <c r="K51" s="26"/>
      <c r="L51" s="26"/>
      <c r="M51" s="26"/>
      <c r="N51" s="26"/>
      <c r="O51" s="26"/>
      <c r="R51" s="30"/>
      <c r="S51" s="30"/>
      <c r="T51" s="30"/>
      <c r="U51" s="30"/>
      <c r="V51" s="29"/>
    </row>
    <row r="52" spans="7:22" ht="17.649999999999999" x14ac:dyDescent="0.5">
      <c r="H52" s="26"/>
      <c r="I52" s="26"/>
      <c r="J52" s="26"/>
      <c r="K52" s="26"/>
      <c r="L52" s="26"/>
      <c r="M52" s="26"/>
      <c r="N52" s="26"/>
      <c r="O52" s="26"/>
      <c r="R52" s="30"/>
      <c r="S52" s="30"/>
      <c r="T52" s="30"/>
      <c r="U52" s="30"/>
      <c r="V52" s="29"/>
    </row>
    <row r="53" spans="7:22" ht="17.649999999999999" x14ac:dyDescent="0.5">
      <c r="H53" s="26"/>
      <c r="I53" s="26"/>
      <c r="J53" s="26"/>
      <c r="K53" s="26"/>
      <c r="L53" s="26"/>
      <c r="M53" s="26"/>
      <c r="N53" s="26"/>
      <c r="O53" s="26"/>
      <c r="R53" s="30"/>
      <c r="S53" s="30"/>
      <c r="T53" s="30"/>
      <c r="U53" s="30"/>
      <c r="V53" s="29"/>
    </row>
    <row r="54" spans="7:22" ht="17.649999999999999" x14ac:dyDescent="0.5">
      <c r="H54" s="26"/>
      <c r="I54" s="26"/>
      <c r="J54" s="26"/>
      <c r="K54" s="26"/>
      <c r="L54" s="26"/>
      <c r="M54" s="26"/>
      <c r="N54" s="26"/>
      <c r="O54" s="26"/>
      <c r="R54" s="30"/>
      <c r="S54" s="30"/>
      <c r="T54" s="30"/>
      <c r="U54" s="30"/>
      <c r="V54" s="29"/>
    </row>
    <row r="55" spans="7:22" ht="17.649999999999999" x14ac:dyDescent="0.5">
      <c r="H55" s="26"/>
      <c r="I55" s="26"/>
      <c r="J55" s="26"/>
      <c r="K55" s="26"/>
      <c r="L55" s="26"/>
      <c r="M55" s="26"/>
      <c r="N55" s="26"/>
      <c r="O55" s="26"/>
      <c r="R55" s="30"/>
      <c r="S55" s="30"/>
      <c r="T55" s="30"/>
      <c r="U55" s="30"/>
      <c r="V55" s="29"/>
    </row>
    <row r="56" spans="7:22" ht="17.649999999999999" x14ac:dyDescent="0.5">
      <c r="G56" s="26"/>
      <c r="H56" s="26"/>
      <c r="I56" s="26"/>
      <c r="J56" s="26"/>
      <c r="K56" s="26"/>
      <c r="L56" s="26"/>
      <c r="M56" s="26"/>
      <c r="N56" s="26"/>
      <c r="O56" s="26"/>
      <c r="R56" s="30"/>
      <c r="S56" s="30"/>
      <c r="T56" s="30"/>
      <c r="U56" s="30"/>
      <c r="V56" s="29"/>
    </row>
    <row r="57" spans="7:22" ht="17.649999999999999" x14ac:dyDescent="0.5">
      <c r="G57" s="26"/>
      <c r="H57" s="26"/>
      <c r="I57" s="26"/>
      <c r="J57" s="26"/>
      <c r="K57" s="26"/>
      <c r="L57" s="26"/>
      <c r="M57" s="26"/>
      <c r="N57" s="26"/>
      <c r="O57" s="26"/>
      <c r="R57" s="30"/>
      <c r="S57" s="30"/>
      <c r="T57" s="30"/>
      <c r="U57" s="30"/>
      <c r="V57" s="30"/>
    </row>
    <row r="58" spans="7:22" ht="17.649999999999999" x14ac:dyDescent="0.5">
      <c r="R58" s="30"/>
      <c r="S58" s="30"/>
      <c r="T58" s="30"/>
      <c r="U58" s="30"/>
      <c r="V58" s="30"/>
    </row>
    <row r="59" spans="7:22" ht="17.649999999999999" x14ac:dyDescent="0.5">
      <c r="R59" s="30"/>
      <c r="S59" s="30"/>
      <c r="T59" s="30"/>
      <c r="U59" s="30"/>
      <c r="V59" s="30"/>
    </row>
    <row r="60" spans="7:22" ht="17.649999999999999" x14ac:dyDescent="0.5">
      <c r="R60" s="30"/>
      <c r="S60" s="30"/>
      <c r="T60" s="30"/>
      <c r="U60" s="30"/>
      <c r="V60" s="30"/>
    </row>
    <row r="61" spans="7:22" ht="17.649999999999999" x14ac:dyDescent="0.5">
      <c r="R61" s="30"/>
      <c r="S61" s="30"/>
      <c r="T61" s="30"/>
      <c r="U61" s="30"/>
      <c r="V61" s="30"/>
    </row>
    <row r="73" spans="18:22" ht="17.649999999999999" x14ac:dyDescent="0.5">
      <c r="R73" s="30"/>
      <c r="S73" s="30"/>
      <c r="T73" s="30"/>
      <c r="U73" s="30"/>
      <c r="V73" s="30"/>
    </row>
    <row r="74" spans="18:22" ht="17.649999999999999" x14ac:dyDescent="0.5">
      <c r="R74" s="30"/>
      <c r="S74" s="30"/>
      <c r="T74" s="30"/>
      <c r="U74" s="30"/>
      <c r="V74" s="30"/>
    </row>
    <row r="75" spans="18:22" ht="17.649999999999999" x14ac:dyDescent="0.5">
      <c r="R75" s="30"/>
      <c r="S75" s="30"/>
      <c r="T75" s="30"/>
      <c r="U75" s="30"/>
      <c r="V75" s="30"/>
    </row>
    <row r="76" spans="18:22" ht="17.649999999999999" x14ac:dyDescent="0.5">
      <c r="R76" s="30"/>
      <c r="S76" s="30"/>
      <c r="T76" s="30"/>
      <c r="U76" s="30"/>
      <c r="V76" s="30"/>
    </row>
    <row r="77" spans="18:22" ht="17.649999999999999" x14ac:dyDescent="0.5">
      <c r="R77" s="30"/>
      <c r="S77" s="30"/>
      <c r="T77" s="30"/>
      <c r="U77" s="30"/>
      <c r="V77" s="30"/>
    </row>
    <row r="78" spans="18:22" ht="17.649999999999999" x14ac:dyDescent="0.5">
      <c r="R78" s="30"/>
      <c r="S78" s="30"/>
      <c r="T78" s="30"/>
      <c r="U78" s="30"/>
      <c r="V78" s="30"/>
    </row>
    <row r="79" spans="18:22" ht="17.649999999999999" x14ac:dyDescent="0.5">
      <c r="R79" s="30"/>
      <c r="S79" s="30"/>
      <c r="T79" s="30"/>
      <c r="U79" s="30"/>
      <c r="V79" s="30"/>
    </row>
    <row r="80" spans="18:22" ht="17.649999999999999" x14ac:dyDescent="0.5">
      <c r="R80" s="30"/>
      <c r="S80" s="30"/>
      <c r="T80" s="30"/>
      <c r="U80" s="30"/>
      <c r="V80" s="30"/>
    </row>
    <row r="81" spans="18:22" ht="17.649999999999999" x14ac:dyDescent="0.5">
      <c r="R81" s="30"/>
      <c r="S81" s="30"/>
      <c r="T81" s="30"/>
      <c r="U81" s="30"/>
      <c r="V81" s="30"/>
    </row>
    <row r="82" spans="18:22" ht="17.649999999999999" x14ac:dyDescent="0.5">
      <c r="R82" s="30"/>
      <c r="S82" s="30"/>
      <c r="T82" s="30"/>
      <c r="U82" s="30"/>
      <c r="V82" s="30"/>
    </row>
    <row r="83" spans="18:22" ht="17.649999999999999" x14ac:dyDescent="0.5">
      <c r="R83" s="30"/>
      <c r="S83" s="30"/>
      <c r="T83" s="30"/>
      <c r="U83" s="30"/>
      <c r="V83" s="30"/>
    </row>
    <row r="84" spans="18:22" ht="17.649999999999999" x14ac:dyDescent="0.5">
      <c r="R84" s="30"/>
      <c r="S84" s="30"/>
      <c r="T84" s="30"/>
      <c r="U84" s="30"/>
      <c r="V84" s="30"/>
    </row>
    <row r="85" spans="18:22" ht="17.649999999999999" x14ac:dyDescent="0.5">
      <c r="R85" s="30"/>
      <c r="S85" s="30"/>
      <c r="T85" s="30"/>
      <c r="U85" s="30"/>
      <c r="V85" s="30"/>
    </row>
    <row r="86" spans="18:22" ht="17.649999999999999" x14ac:dyDescent="0.5">
      <c r="R86" s="30"/>
      <c r="S86" s="30"/>
      <c r="T86" s="30"/>
      <c r="U86" s="30"/>
      <c r="V86" s="30"/>
    </row>
    <row r="87" spans="18:22" ht="17.649999999999999" x14ac:dyDescent="0.5">
      <c r="R87" s="30"/>
      <c r="S87" s="30"/>
      <c r="T87" s="30"/>
      <c r="U87" s="30"/>
      <c r="V87" s="30"/>
    </row>
    <row r="88" spans="18:22" ht="17.649999999999999" x14ac:dyDescent="0.5">
      <c r="R88" s="30"/>
      <c r="S88" s="30"/>
      <c r="T88" s="30"/>
      <c r="U88" s="30"/>
    </row>
  </sheetData>
  <mergeCells count="1">
    <mergeCell ref="A2:A3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100 Papers</vt:lpstr>
      <vt:lpstr>Experimental CTE (127)</vt:lpstr>
      <vt:lpstr>Computational CTE (39)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Alexander, Marlena</dc:creator>
  <cp:lastModifiedBy>Marshall, Jordan</cp:lastModifiedBy>
  <dcterms:created xsi:type="dcterms:W3CDTF">2025-07-24T15:39:32Z</dcterms:created>
  <dcterms:modified xsi:type="dcterms:W3CDTF">2026-03-06T17:46:14Z</dcterms:modified>
</cp:coreProperties>
</file>